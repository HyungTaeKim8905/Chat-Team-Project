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570" yWindow="3690" windowWidth="15600" windowHeight="2850" tabRatio="809" activeTab="6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'기본작업-2'!$A$2:$K$25</definedName>
    <definedName name="_xlnm._FilterDatabase" localSheetId="4" hidden="1">'분석작업-2'!$A$5:$I$28</definedName>
    <definedName name="_xlnm.Criteria" localSheetId="1">'기본작업-2'!$F$28:$F$29</definedName>
    <definedName name="_xlnm.Extract" localSheetId="1">'기본작업-2'!$B$47:$L$47</definedName>
    <definedName name="_xlnm.Print_Area" localSheetId="1">'기본작업-2'!$A$2:$K$25</definedName>
    <definedName name="_xlnm.Print_Titles" localSheetId="1">'기본작업-2'!$2:$2</definedName>
  </definedNames>
  <calcPr calcId="144525"/>
  <pivotCaches>
    <pivotCache cacheId="7" r:id="rId8"/>
  </pivotCaches>
</workbook>
</file>

<file path=xl/calcChain.xml><?xml version="1.0" encoding="utf-8"?>
<calcChain xmlns="http://schemas.openxmlformats.org/spreadsheetml/2006/main">
  <c r="C27" i="3" l="1" a="1"/>
  <c r="C27" i="3" s="1"/>
  <c r="C28" i="3" a="1"/>
  <c r="C28" i="3" s="1"/>
  <c r="C26" i="3" a="1"/>
  <c r="C26" i="3" s="1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4" i="3"/>
  <c r="E38" i="3" a="1"/>
  <c r="E38" i="3" s="1"/>
  <c r="E39" i="3" a="1"/>
  <c r="E39" i="3" s="1"/>
  <c r="E40" i="3" a="1"/>
  <c r="E40" i="3" s="1"/>
  <c r="D39" i="3" a="1"/>
  <c r="D39" i="3" s="1"/>
  <c r="D40" i="3" a="1"/>
  <c r="D40" i="3" s="1"/>
  <c r="D38" i="3" a="1"/>
  <c r="D38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4" i="3"/>
  <c r="M5" i="3"/>
  <c r="M16" i="3"/>
  <c r="M17" i="3"/>
  <c r="M14" i="3"/>
  <c r="M7" i="3"/>
  <c r="M10" i="3"/>
  <c r="M18" i="3"/>
  <c r="M11" i="3"/>
  <c r="M19" i="3"/>
  <c r="M12" i="3"/>
  <c r="M20" i="3"/>
  <c r="M13" i="3"/>
  <c r="M21" i="3"/>
  <c r="M6" i="3"/>
  <c r="M22" i="3"/>
  <c r="M15" i="3"/>
  <c r="M8" i="3"/>
  <c r="M9" i="3"/>
  <c r="M4" i="3"/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3" i="2"/>
  <c r="F29" i="2" s="1"/>
  <c r="E25" i="5" l="1"/>
  <c r="E14" i="5"/>
  <c r="E13" i="5"/>
  <c r="E24" i="5"/>
  <c r="E12" i="5"/>
  <c r="E11" i="5"/>
  <c r="E23" i="5"/>
  <c r="E28" i="5"/>
  <c r="E22" i="5"/>
  <c r="E10" i="5"/>
  <c r="E21" i="5"/>
  <c r="E27" i="5"/>
  <c r="E26" i="5"/>
  <c r="E20" i="5"/>
  <c r="E19" i="5"/>
  <c r="E18" i="5"/>
  <c r="E17" i="5"/>
  <c r="E16" i="5"/>
  <c r="E9" i="5"/>
  <c r="E15" i="5"/>
  <c r="E8" i="5"/>
  <c r="E7" i="5"/>
  <c r="E6" i="5"/>
  <c r="I22" i="3"/>
  <c r="J22" i="3" s="1"/>
  <c r="I21" i="3"/>
  <c r="J21" i="3" s="1"/>
  <c r="I20" i="3"/>
  <c r="J20" i="3" s="1"/>
  <c r="I19" i="3"/>
  <c r="J19" i="3" s="1"/>
  <c r="I18" i="3"/>
  <c r="J18" i="3" s="1"/>
  <c r="I17" i="3"/>
  <c r="J17" i="3" s="1"/>
  <c r="I16" i="3"/>
  <c r="J16" i="3" s="1"/>
  <c r="I15" i="3"/>
  <c r="J15" i="3" s="1"/>
  <c r="I14" i="3"/>
  <c r="J14" i="3" s="1"/>
  <c r="I13" i="3"/>
  <c r="J13" i="3" s="1"/>
  <c r="I12" i="3"/>
  <c r="J12" i="3" s="1"/>
  <c r="I11" i="3"/>
  <c r="J11" i="3" s="1"/>
  <c r="I10" i="3"/>
  <c r="J10" i="3" s="1"/>
  <c r="I9" i="3"/>
  <c r="J9" i="3" s="1"/>
  <c r="I8" i="3"/>
  <c r="J8" i="3" s="1"/>
  <c r="I7" i="3"/>
  <c r="J7" i="3" s="1"/>
  <c r="I6" i="3"/>
  <c r="J6" i="3" s="1"/>
  <c r="I5" i="3"/>
  <c r="J5" i="3" s="1"/>
  <c r="I4" i="3"/>
  <c r="J4" i="3" s="1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</calcChain>
</file>

<file path=xl/sharedStrings.xml><?xml version="1.0" encoding="utf-8"?>
<sst xmlns="http://schemas.openxmlformats.org/spreadsheetml/2006/main" count="811" uniqueCount="358">
  <si>
    <t>[표1]</t>
    <phoneticPr fontId="3" type="noConversion"/>
  </si>
  <si>
    <t>대여ID</t>
    <phoneticPr fontId="4" type="noConversion"/>
  </si>
  <si>
    <t>고객명</t>
    <phoneticPr fontId="4" type="noConversion"/>
  </si>
  <si>
    <t>회원구분</t>
    <phoneticPr fontId="4" type="noConversion"/>
  </si>
  <si>
    <t>대여일자</t>
    <phoneticPr fontId="4" type="noConversion"/>
  </si>
  <si>
    <t>대여기간</t>
    <phoneticPr fontId="4" type="noConversion"/>
  </si>
  <si>
    <t>반납일자</t>
    <phoneticPr fontId="4" type="noConversion"/>
  </si>
  <si>
    <t>B</t>
    <phoneticPr fontId="4" type="noConversion"/>
  </si>
  <si>
    <t>원목 실꿰기</t>
    <phoneticPr fontId="4" type="noConversion"/>
  </si>
  <si>
    <t>박현정</t>
    <phoneticPr fontId="4" type="noConversion"/>
  </si>
  <si>
    <t>한서연</t>
    <phoneticPr fontId="4" type="noConversion"/>
  </si>
  <si>
    <t>레고</t>
    <phoneticPr fontId="4" type="noConversion"/>
  </si>
  <si>
    <t>그룹</t>
    <phoneticPr fontId="4" type="noConversion"/>
  </si>
  <si>
    <t>신태현</t>
    <phoneticPr fontId="4" type="noConversion"/>
  </si>
  <si>
    <t>바운서</t>
    <phoneticPr fontId="4" type="noConversion"/>
  </si>
  <si>
    <t>양지혜</t>
    <phoneticPr fontId="4" type="noConversion"/>
  </si>
  <si>
    <t>뽀로로 어린이버스</t>
    <phoneticPr fontId="4" type="noConversion"/>
  </si>
  <si>
    <t>이진욱</t>
    <phoneticPr fontId="4" type="noConversion"/>
  </si>
  <si>
    <t>김길창</t>
    <phoneticPr fontId="4" type="noConversion"/>
  </si>
  <si>
    <t>미미 컴퓨터</t>
    <phoneticPr fontId="4" type="noConversion"/>
  </si>
  <si>
    <t>박영만</t>
    <phoneticPr fontId="4" type="noConversion"/>
  </si>
  <si>
    <t>러닝홈</t>
    <phoneticPr fontId="4" type="noConversion"/>
  </si>
  <si>
    <t>할인액</t>
    <phoneticPr fontId="3" type="noConversion"/>
  </si>
  <si>
    <t>배송방식</t>
    <phoneticPr fontId="3" type="noConversion"/>
  </si>
  <si>
    <t>배송비</t>
    <phoneticPr fontId="3" type="noConversion"/>
  </si>
  <si>
    <t>비회원</t>
    <phoneticPr fontId="3" type="noConversion"/>
  </si>
  <si>
    <t>김미분</t>
  </si>
  <si>
    <t>B</t>
  </si>
  <si>
    <t>김영철</t>
  </si>
  <si>
    <t>A</t>
  </si>
  <si>
    <t>01NB0002</t>
  </si>
  <si>
    <t>정현진</t>
  </si>
  <si>
    <t>C</t>
  </si>
  <si>
    <t>01BP0003</t>
  </si>
  <si>
    <t>최정연</t>
  </si>
  <si>
    <t>01BP0004</t>
  </si>
  <si>
    <t>홍은지</t>
  </si>
  <si>
    <t>01NB0003</t>
  </si>
  <si>
    <t>김민혜</t>
  </si>
  <si>
    <t>01BP0002</t>
  </si>
  <si>
    <t>김은정</t>
  </si>
  <si>
    <t>김주영</t>
  </si>
  <si>
    <t>이영주</t>
  </si>
  <si>
    <t>01NB0005</t>
  </si>
  <si>
    <t>이은지</t>
  </si>
  <si>
    <t>최일우</t>
  </si>
  <si>
    <t>최종두</t>
  </si>
  <si>
    <t>01NB0004</t>
  </si>
  <si>
    <t>교육완구</t>
    <phoneticPr fontId="3" type="noConversion"/>
  </si>
  <si>
    <t>01NB0001</t>
  </si>
  <si>
    <t>클래식아기별상자</t>
    <phoneticPr fontId="3" type="noConversion"/>
  </si>
  <si>
    <t>피셔프라이스</t>
    <phoneticPr fontId="3" type="noConversion"/>
  </si>
  <si>
    <t>옥스포드</t>
    <phoneticPr fontId="3" type="noConversion"/>
  </si>
  <si>
    <t>뿡뿡이 다기능 자전거</t>
    <phoneticPr fontId="3" type="noConversion"/>
  </si>
  <si>
    <t>운동 완구</t>
    <phoneticPr fontId="3" type="noConversion"/>
  </si>
  <si>
    <t>2세 이상</t>
    <phoneticPr fontId="3" type="noConversion"/>
  </si>
  <si>
    <t>3세</t>
    <phoneticPr fontId="3" type="noConversion"/>
  </si>
  <si>
    <t>토베베</t>
    <phoneticPr fontId="3" type="noConversion"/>
  </si>
  <si>
    <t>01NB0006</t>
  </si>
  <si>
    <t>01NB0007</t>
  </si>
  <si>
    <t>빙글빙글 동물친구</t>
    <phoneticPr fontId="3" type="noConversion"/>
  </si>
  <si>
    <t>01NB0008</t>
  </si>
  <si>
    <t>8~24개월</t>
    <phoneticPr fontId="3" type="noConversion"/>
  </si>
  <si>
    <t>01NB0009</t>
  </si>
  <si>
    <t>미미월드</t>
    <phoneticPr fontId="3" type="noConversion"/>
  </si>
  <si>
    <t>01NB0010</t>
  </si>
  <si>
    <t>아기 체육관</t>
    <phoneticPr fontId="3" type="noConversion"/>
  </si>
  <si>
    <t>01NB0011</t>
  </si>
  <si>
    <t>뽀로로 어린이버스</t>
    <phoneticPr fontId="3" type="noConversion"/>
  </si>
  <si>
    <t>01NB0012</t>
  </si>
  <si>
    <t>01NB0013</t>
  </si>
  <si>
    <t>러닝홈</t>
    <phoneticPr fontId="3" type="noConversion"/>
  </si>
  <si>
    <t>01NB0014</t>
  </si>
  <si>
    <t>뽀로로 구조대</t>
    <phoneticPr fontId="3" type="noConversion"/>
  </si>
  <si>
    <t>37개월 이상</t>
    <phoneticPr fontId="3" type="noConversion"/>
  </si>
  <si>
    <t>01NB0015</t>
  </si>
  <si>
    <t>베베 블록</t>
    <phoneticPr fontId="3" type="noConversion"/>
  </si>
  <si>
    <t>1세~3세</t>
    <phoneticPr fontId="3" type="noConversion"/>
  </si>
  <si>
    <t>01NB0016</t>
  </si>
  <si>
    <t>스텝 2</t>
    <phoneticPr fontId="3" type="noConversion"/>
  </si>
  <si>
    <t>01NB0017</t>
  </si>
  <si>
    <t>01NB0018</t>
  </si>
  <si>
    <t>토마스와 친구들</t>
    <phoneticPr fontId="3" type="noConversion"/>
  </si>
  <si>
    <t>토마스</t>
    <phoneticPr fontId="3" type="noConversion"/>
  </si>
  <si>
    <t>장난감ID</t>
    <phoneticPr fontId="3" type="noConversion"/>
  </si>
  <si>
    <t>고객등급</t>
    <phoneticPr fontId="3" type="noConversion"/>
  </si>
  <si>
    <t>장난감이름</t>
    <phoneticPr fontId="3" type="noConversion"/>
  </si>
  <si>
    <t>분류명</t>
    <phoneticPr fontId="3" type="noConversion"/>
  </si>
  <si>
    <t>사용연령</t>
    <phoneticPr fontId="3" type="noConversion"/>
  </si>
  <si>
    <t>1회대여료</t>
    <phoneticPr fontId="3" type="noConversion"/>
  </si>
  <si>
    <t>장난감 가격</t>
    <phoneticPr fontId="3" type="noConversion"/>
  </si>
  <si>
    <t>제조사</t>
    <phoneticPr fontId="3" type="noConversion"/>
  </si>
  <si>
    <t>엑서 쏘서</t>
    <phoneticPr fontId="3" type="noConversion"/>
  </si>
  <si>
    <t>신생아완구</t>
    <phoneticPr fontId="3" type="noConversion"/>
  </si>
  <si>
    <t>0~24개월</t>
    <phoneticPr fontId="3" type="noConversion"/>
  </si>
  <si>
    <t>이븐플로</t>
    <phoneticPr fontId="3" type="noConversion"/>
  </si>
  <si>
    <t>01NB0002</t>
    <phoneticPr fontId="3" type="noConversion"/>
  </si>
  <si>
    <t>6~26개월</t>
    <phoneticPr fontId="3" type="noConversion"/>
  </si>
  <si>
    <t>뽀로로 고속열차</t>
    <phoneticPr fontId="3" type="noConversion"/>
  </si>
  <si>
    <t>블록/퍼즐</t>
    <phoneticPr fontId="3" type="noConversion"/>
  </si>
  <si>
    <t>3세 이상</t>
    <phoneticPr fontId="3" type="noConversion"/>
  </si>
  <si>
    <t>금보토이</t>
    <phoneticPr fontId="3" type="noConversion"/>
  </si>
  <si>
    <t>키즈 4 in  미끄럼틀</t>
    <phoneticPr fontId="3" type="noConversion"/>
  </si>
  <si>
    <t>헬로키티 펜션여행</t>
    <phoneticPr fontId="3" type="noConversion"/>
  </si>
  <si>
    <t>6세 이상</t>
    <phoneticPr fontId="3" type="noConversion"/>
  </si>
  <si>
    <t>6~24개월</t>
    <phoneticPr fontId="3" type="noConversion"/>
  </si>
  <si>
    <t>브이텍</t>
    <phoneticPr fontId="3" type="noConversion"/>
  </si>
  <si>
    <t>원목 실꿰기</t>
    <phoneticPr fontId="3" type="noConversion"/>
  </si>
  <si>
    <t>이너웍스</t>
    <phoneticPr fontId="3" type="noConversion"/>
  </si>
  <si>
    <t>미미 컴퓨터</t>
    <phoneticPr fontId="3" type="noConversion"/>
  </si>
  <si>
    <t>36개월 이상</t>
    <phoneticPr fontId="3" type="noConversion"/>
  </si>
  <si>
    <t>1~36개월</t>
    <phoneticPr fontId="3" type="noConversion"/>
  </si>
  <si>
    <t>작동/조립</t>
    <phoneticPr fontId="3" type="noConversion"/>
  </si>
  <si>
    <t>구원상사</t>
    <phoneticPr fontId="3" type="noConversion"/>
  </si>
  <si>
    <t>세계지도 만국기</t>
    <phoneticPr fontId="3" type="noConversion"/>
  </si>
  <si>
    <t>파피앙</t>
    <phoneticPr fontId="3" type="noConversion"/>
  </si>
  <si>
    <t>6~36개월</t>
    <phoneticPr fontId="3" type="noConversion"/>
  </si>
  <si>
    <t>영진</t>
    <phoneticPr fontId="3" type="noConversion"/>
  </si>
  <si>
    <t>주방 놀이</t>
    <phoneticPr fontId="3" type="noConversion"/>
  </si>
  <si>
    <t>트랜스포트</t>
    <phoneticPr fontId="3" type="noConversion"/>
  </si>
  <si>
    <t>7세 이상</t>
    <phoneticPr fontId="3" type="noConversion"/>
  </si>
  <si>
    <t>레고</t>
    <phoneticPr fontId="3" type="noConversion"/>
  </si>
  <si>
    <t>총대여건수</t>
    <phoneticPr fontId="3" type="noConversion"/>
  </si>
  <si>
    <t>총대여금액</t>
    <phoneticPr fontId="3" type="noConversion"/>
  </si>
  <si>
    <t>운동완구</t>
    <phoneticPr fontId="3" type="noConversion"/>
  </si>
  <si>
    <t>장난감이름</t>
    <phoneticPr fontId="4" type="noConversion"/>
  </si>
  <si>
    <t>대여료</t>
    <phoneticPr fontId="4" type="noConversion"/>
  </si>
  <si>
    <t>총대여료</t>
    <phoneticPr fontId="4" type="noConversion"/>
  </si>
  <si>
    <t>적립포인트</t>
    <phoneticPr fontId="4" type="noConversion"/>
  </si>
  <si>
    <t>강나리</t>
    <phoneticPr fontId="4" type="noConversion"/>
  </si>
  <si>
    <t>회원</t>
    <phoneticPr fontId="4" type="noConversion"/>
  </si>
  <si>
    <t>세계지도 만국기</t>
    <phoneticPr fontId="4" type="noConversion"/>
  </si>
  <si>
    <t>구원희</t>
    <phoneticPr fontId="4" type="noConversion"/>
  </si>
  <si>
    <t>헬로키티 펜션여행</t>
    <phoneticPr fontId="4" type="noConversion"/>
  </si>
  <si>
    <t>권희숙</t>
    <phoneticPr fontId="4" type="noConversion"/>
  </si>
  <si>
    <t>뽀로로 고속열차</t>
    <phoneticPr fontId="4" type="noConversion"/>
  </si>
  <si>
    <t>비회원</t>
    <phoneticPr fontId="4" type="noConversion"/>
  </si>
  <si>
    <t>김대희</t>
    <phoneticPr fontId="4" type="noConversion"/>
  </si>
  <si>
    <t>스텝2 미끄럼틀</t>
    <phoneticPr fontId="4" type="noConversion"/>
  </si>
  <si>
    <t>김성실</t>
    <phoneticPr fontId="4" type="noConversion"/>
  </si>
  <si>
    <t>그네</t>
    <phoneticPr fontId="4" type="noConversion"/>
  </si>
  <si>
    <t>김세환</t>
    <phoneticPr fontId="4" type="noConversion"/>
  </si>
  <si>
    <t>김영희</t>
    <phoneticPr fontId="4" type="noConversion"/>
  </si>
  <si>
    <t>자동차</t>
    <phoneticPr fontId="4" type="noConversion"/>
  </si>
  <si>
    <t>김훈학</t>
    <phoneticPr fontId="4" type="noConversion"/>
  </si>
  <si>
    <t>나영길</t>
    <phoneticPr fontId="4" type="noConversion"/>
  </si>
  <si>
    <t>트레스포트</t>
    <phoneticPr fontId="4" type="noConversion"/>
  </si>
  <si>
    <t>민병철</t>
    <phoneticPr fontId="4" type="noConversion"/>
  </si>
  <si>
    <t>뿡뿡이 자전거</t>
    <phoneticPr fontId="4" type="noConversion"/>
  </si>
  <si>
    <t>민주희</t>
    <phoneticPr fontId="4" type="noConversion"/>
  </si>
  <si>
    <t>가베</t>
    <phoneticPr fontId="4" type="noConversion"/>
  </si>
  <si>
    <t>은물</t>
    <phoneticPr fontId="4" type="noConversion"/>
  </si>
  <si>
    <t>서진숙</t>
    <phoneticPr fontId="4" type="noConversion"/>
  </si>
  <si>
    <t>농구대</t>
    <phoneticPr fontId="4" type="noConversion"/>
  </si>
  <si>
    <t>이종대</t>
    <phoneticPr fontId="4" type="noConversion"/>
  </si>
  <si>
    <t>베베 블록</t>
    <phoneticPr fontId="4" type="noConversion"/>
  </si>
  <si>
    <t>정명희</t>
    <phoneticPr fontId="4" type="noConversion"/>
  </si>
  <si>
    <t>아기체육관</t>
    <phoneticPr fontId="4" type="noConversion"/>
  </si>
  <si>
    <t>조영달</t>
    <phoneticPr fontId="4" type="noConversion"/>
  </si>
  <si>
    <t>뽀로로 구조대</t>
    <phoneticPr fontId="4" type="noConversion"/>
  </si>
  <si>
    <t>진아영</t>
    <phoneticPr fontId="4" type="noConversion"/>
  </si>
  <si>
    <t>뽀로로 기차</t>
    <phoneticPr fontId="4" type="noConversion"/>
  </si>
  <si>
    <t>엑서 쏘서</t>
    <phoneticPr fontId="4" type="noConversion"/>
  </si>
  <si>
    <t>회원구분</t>
    <phoneticPr fontId="3" type="noConversion"/>
  </si>
  <si>
    <t>고객명</t>
    <phoneticPr fontId="3" type="noConversion"/>
  </si>
  <si>
    <t>대여일자</t>
    <phoneticPr fontId="3" type="noConversion"/>
  </si>
  <si>
    <t>대여기간</t>
    <phoneticPr fontId="3" type="noConversion"/>
  </si>
  <si>
    <t>반납일</t>
    <phoneticPr fontId="3" type="noConversion"/>
  </si>
  <si>
    <t>대여료</t>
    <phoneticPr fontId="3" type="noConversion"/>
  </si>
  <si>
    <t>01NB0001</t>
    <phoneticPr fontId="3" type="noConversion"/>
  </si>
  <si>
    <t>택배</t>
    <phoneticPr fontId="3" type="noConversion"/>
  </si>
  <si>
    <t>회원</t>
    <phoneticPr fontId="3" type="noConversion"/>
  </si>
  <si>
    <t>직접수령</t>
    <phoneticPr fontId="3" type="noConversion"/>
  </si>
  <si>
    <t>그룹</t>
    <phoneticPr fontId="3" type="noConversion"/>
  </si>
  <si>
    <t>직원방문</t>
    <phoneticPr fontId="3" type="noConversion"/>
  </si>
  <si>
    <t>비회원</t>
    <phoneticPr fontId="3" type="noConversion"/>
  </si>
  <si>
    <t>직원방문</t>
    <phoneticPr fontId="3" type="noConversion"/>
  </si>
  <si>
    <t>회원</t>
    <phoneticPr fontId="3" type="noConversion"/>
  </si>
  <si>
    <t>01NB0001</t>
    <phoneticPr fontId="3" type="noConversion"/>
  </si>
  <si>
    <t>직접수령</t>
    <phoneticPr fontId="3" type="noConversion"/>
  </si>
  <si>
    <t>그룹</t>
    <phoneticPr fontId="3" type="noConversion"/>
  </si>
  <si>
    <t>택배</t>
    <phoneticPr fontId="3" type="noConversion"/>
  </si>
  <si>
    <t>비회원</t>
    <phoneticPr fontId="3" type="noConversion"/>
  </si>
  <si>
    <t>택배</t>
    <phoneticPr fontId="3" type="noConversion"/>
  </si>
  <si>
    <t>회원</t>
    <phoneticPr fontId="3" type="noConversion"/>
  </si>
  <si>
    <t>직원방문</t>
    <phoneticPr fontId="3" type="noConversion"/>
  </si>
  <si>
    <t>회원</t>
    <phoneticPr fontId="3" type="noConversion"/>
  </si>
  <si>
    <t>직접수령</t>
    <phoneticPr fontId="3" type="noConversion"/>
  </si>
  <si>
    <t>회원</t>
    <phoneticPr fontId="3" type="noConversion"/>
  </si>
  <si>
    <t>01NB0001</t>
    <phoneticPr fontId="3" type="noConversion"/>
  </si>
  <si>
    <t>직접수령</t>
    <phoneticPr fontId="3" type="noConversion"/>
  </si>
  <si>
    <t>회원</t>
    <phoneticPr fontId="3" type="noConversion"/>
  </si>
  <si>
    <t>직원방문</t>
    <phoneticPr fontId="3" type="noConversion"/>
  </si>
  <si>
    <t>비회원</t>
    <phoneticPr fontId="3" type="noConversion"/>
  </si>
  <si>
    <t>01BP0001</t>
    <phoneticPr fontId="3" type="noConversion"/>
  </si>
  <si>
    <t>택배</t>
    <phoneticPr fontId="3" type="noConversion"/>
  </si>
  <si>
    <t>비회원</t>
    <phoneticPr fontId="3" type="noConversion"/>
  </si>
  <si>
    <t>택배</t>
    <phoneticPr fontId="3" type="noConversion"/>
  </si>
  <si>
    <t>그룹</t>
    <phoneticPr fontId="3" type="noConversion"/>
  </si>
  <si>
    <t>택배</t>
    <phoneticPr fontId="3" type="noConversion"/>
  </si>
  <si>
    <t>회원</t>
    <phoneticPr fontId="3" type="noConversion"/>
  </si>
  <si>
    <t>01BP0001</t>
    <phoneticPr fontId="3" type="noConversion"/>
  </si>
  <si>
    <t>이영주</t>
    <phoneticPr fontId="3" type="noConversion"/>
  </si>
  <si>
    <t>01NB0001</t>
    <phoneticPr fontId="3" type="noConversion"/>
  </si>
  <si>
    <t>이은지</t>
    <phoneticPr fontId="3" type="noConversion"/>
  </si>
  <si>
    <t>최일우</t>
    <phoneticPr fontId="3" type="noConversion"/>
  </si>
  <si>
    <t>[표2]</t>
    <phoneticPr fontId="3" type="noConversion"/>
  </si>
  <si>
    <t>대여 기간이 2개월 이상인 건수</t>
    <phoneticPr fontId="3" type="noConversion"/>
  </si>
  <si>
    <t>[표3]</t>
    <phoneticPr fontId="3" type="noConversion"/>
  </si>
  <si>
    <t>장난감 가격표</t>
    <phoneticPr fontId="3" type="noConversion"/>
  </si>
  <si>
    <t>[표4]</t>
    <phoneticPr fontId="3" type="noConversion"/>
  </si>
  <si>
    <t>할인비율표</t>
    <phoneticPr fontId="3" type="noConversion"/>
  </si>
  <si>
    <t>배송방식</t>
    <phoneticPr fontId="3" type="noConversion"/>
  </si>
  <si>
    <t>건수</t>
    <phoneticPr fontId="3" type="noConversion"/>
  </si>
  <si>
    <t>장난감ID</t>
    <phoneticPr fontId="3" type="noConversion"/>
  </si>
  <si>
    <t>장난감가격</t>
    <phoneticPr fontId="3" type="noConversion"/>
  </si>
  <si>
    <t>1개월대여료</t>
    <phoneticPr fontId="3" type="noConversion"/>
  </si>
  <si>
    <t>고객등급</t>
    <phoneticPr fontId="3" type="noConversion"/>
  </si>
  <si>
    <t>고객등급</t>
    <phoneticPr fontId="4" type="noConversion"/>
  </si>
  <si>
    <t>A</t>
    <phoneticPr fontId="4" type="noConversion"/>
  </si>
  <si>
    <t>C</t>
    <phoneticPr fontId="4" type="noConversion"/>
  </si>
  <si>
    <t>할인비율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</si>
  <si>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</si>
  <si>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</si>
  <si>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</si>
  <si>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[표5]</t>
    <phoneticPr fontId="3" type="noConversion"/>
  </si>
  <si>
    <t>분류별 고객별 할인액의 평균</t>
    <phoneticPr fontId="3" type="noConversion"/>
  </si>
  <si>
    <t>NB</t>
    <phoneticPr fontId="3" type="noConversion"/>
  </si>
  <si>
    <t>BP</t>
    <phoneticPr fontId="3" type="noConversion"/>
  </si>
  <si>
    <t>고객명</t>
  </si>
  <si>
    <t>회원구분</t>
  </si>
  <si>
    <t>고객등급</t>
  </si>
  <si>
    <t>분류명</t>
  </si>
  <si>
    <t>장난감이름</t>
  </si>
  <si>
    <t>대여일자</t>
  </si>
  <si>
    <t>대여기간</t>
  </si>
  <si>
    <t>1회대여료</t>
  </si>
  <si>
    <t>총대여료</t>
  </si>
  <si>
    <t>적립포인트</t>
  </si>
  <si>
    <t>강나리</t>
  </si>
  <si>
    <t>회원</t>
  </si>
  <si>
    <t>교육완구</t>
  </si>
  <si>
    <t>세계지도 만국기</t>
  </si>
  <si>
    <t>김훈학</t>
  </si>
  <si>
    <t>원목 실꿰기</t>
  </si>
  <si>
    <t>박현정</t>
  </si>
  <si>
    <t>블록/퍼즐</t>
  </si>
  <si>
    <t>뽀로로 고속열차</t>
  </si>
  <si>
    <t>한서연</t>
  </si>
  <si>
    <t>비회원</t>
  </si>
  <si>
    <t>신생아완구</t>
  </si>
  <si>
    <t>엑서 쏘서</t>
  </si>
  <si>
    <t>김세환</t>
  </si>
  <si>
    <t>작동/조립</t>
  </si>
  <si>
    <t>레고</t>
  </si>
  <si>
    <t>민병철</t>
  </si>
  <si>
    <t>그룹</t>
  </si>
  <si>
    <t>운동완구</t>
  </si>
  <si>
    <t>뿡뿡이 자전거</t>
  </si>
  <si>
    <t>신태현</t>
  </si>
  <si>
    <t>바운서</t>
  </si>
  <si>
    <t>양지혜</t>
  </si>
  <si>
    <t>뽀로로 어린이버스</t>
  </si>
  <si>
    <t>이진욱</t>
  </si>
  <si>
    <t>베베 블록</t>
  </si>
  <si>
    <t>김길창</t>
  </si>
  <si>
    <t>미미 컴퓨터</t>
  </si>
  <si>
    <t>김대희</t>
  </si>
  <si>
    <t>스텝2 미끄럼틀</t>
  </si>
  <si>
    <t>나영길</t>
  </si>
  <si>
    <t>트레스포트</t>
  </si>
  <si>
    <t>민주희</t>
  </si>
  <si>
    <t>가베</t>
  </si>
  <si>
    <t>박영만</t>
  </si>
  <si>
    <t>은물</t>
  </si>
  <si>
    <t>이종대</t>
  </si>
  <si>
    <t>러닝홈</t>
  </si>
  <si>
    <t>조영달</t>
  </si>
  <si>
    <t>뽀로로 구조대</t>
  </si>
  <si>
    <t>김성실</t>
  </si>
  <si>
    <t>그네</t>
  </si>
  <si>
    <t>김영희</t>
  </si>
  <si>
    <t>자동차</t>
  </si>
  <si>
    <t>구원희</t>
  </si>
  <si>
    <t>헬로키티 펜션여행</t>
  </si>
  <si>
    <t>정명희</t>
  </si>
  <si>
    <t>아기체육관</t>
  </si>
  <si>
    <t>진아영</t>
  </si>
  <si>
    <t>뽀로로 기차</t>
  </si>
  <si>
    <t>서진숙</t>
  </si>
  <si>
    <t>농구대</t>
  </si>
  <si>
    <t>권희숙</t>
  </si>
  <si>
    <t>황전구</t>
  </si>
  <si>
    <t>클래식 아기별상자</t>
  </si>
  <si>
    <t>오나라</t>
  </si>
  <si>
    <t>도형놀이</t>
  </si>
  <si>
    <t>유채화</t>
  </si>
  <si>
    <t>스텝2 말</t>
  </si>
  <si>
    <t>김사랑</t>
  </si>
  <si>
    <t>한나리</t>
  </si>
  <si>
    <t>빙글빙글 동물친구</t>
  </si>
  <si>
    <t>조절해</t>
  </si>
  <si>
    <t>이기자</t>
  </si>
  <si>
    <t>준은물</t>
  </si>
  <si>
    <t>김규리</t>
  </si>
  <si>
    <t>헬로키티 주방블록</t>
  </si>
  <si>
    <t>김나비</t>
  </si>
  <si>
    <t>김윤선</t>
  </si>
  <si>
    <t>보행기</t>
  </si>
  <si>
    <t>마소희</t>
  </si>
  <si>
    <t>소방차</t>
  </si>
  <si>
    <t>대여ID</t>
  </si>
  <si>
    <t>고객코드</t>
  </si>
  <si>
    <t>장난감ID</t>
  </si>
  <si>
    <t>RE0016</t>
  </si>
  <si>
    <t>A0006</t>
  </si>
  <si>
    <t>01OP0003</t>
  </si>
  <si>
    <t>RE0015</t>
  </si>
  <si>
    <t>C0005</t>
  </si>
  <si>
    <t>RE0031</t>
  </si>
  <si>
    <t>A0011</t>
  </si>
  <si>
    <t>RE0014</t>
  </si>
  <si>
    <t>B0005</t>
  </si>
  <si>
    <t>01ED0004</t>
  </si>
  <si>
    <t>RE0013</t>
  </si>
  <si>
    <t>A0005</t>
  </si>
  <si>
    <t>01ED0005</t>
  </si>
  <si>
    <t>RE0012</t>
  </si>
  <si>
    <t>C0004</t>
  </si>
  <si>
    <t>RE0030</t>
  </si>
  <si>
    <t>C0010</t>
  </si>
  <si>
    <t>01ED0006</t>
  </si>
  <si>
    <t>RE0027</t>
  </si>
  <si>
    <t>C0009</t>
  </si>
  <si>
    <t>RE0005</t>
  </si>
  <si>
    <t>C0001</t>
  </si>
  <si>
    <t>01OP0001</t>
  </si>
  <si>
    <t>RE0020</t>
  </si>
  <si>
    <t>B0007</t>
  </si>
  <si>
    <t>RE0019</t>
  </si>
  <si>
    <t>A0007</t>
  </si>
  <si>
    <t>RE0018</t>
  </si>
  <si>
    <t>C0006</t>
  </si>
  <si>
    <t>01OP0004</t>
  </si>
  <si>
    <t>RE0004</t>
  </si>
  <si>
    <t>B0001</t>
  </si>
  <si>
    <t>조건식</t>
    <phoneticPr fontId="2" type="noConversion"/>
  </si>
  <si>
    <t>&gt;3000</t>
    <phoneticPr fontId="2" type="noConversion"/>
  </si>
  <si>
    <t>A</t>
    <phoneticPr fontId="2" type="noConversion"/>
  </si>
  <si>
    <t>&lt;&gt;비회원</t>
    <phoneticPr fontId="2" type="noConversion"/>
  </si>
  <si>
    <t>총합계</t>
  </si>
  <si>
    <t>합계 : 총대여료</t>
  </si>
  <si>
    <t>1월</t>
  </si>
  <si>
    <t>2월</t>
  </si>
  <si>
    <t>3월</t>
  </si>
  <si>
    <t>4월</t>
  </si>
  <si>
    <t>5월</t>
  </si>
  <si>
    <t>검색결과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</si>
</sst>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8" formatCode="_-* #,##0.0_-;\-* #,##0.0_-;_-* &quot;-&quot;?_-;_-@_-"/>
    <numFmt numFmtId="179" formatCode="#,##0,&quot;천원&quot;"/>
    <numFmt numFmtId="180" formatCode="0_);[Red]\(0\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quotePrefix="1" applyNumberFormat="1" applyFont="1" applyBorder="1" applyAlignment="1">
      <alignment horizontal="center" vertical="center"/>
    </xf>
    <xf numFmtId="14" fontId="6" fillId="0" borderId="1" xfId="0" quotePrefix="1" applyNumberFormat="1" applyFont="1" applyBorder="1" applyAlignment="1">
      <alignment horizontal="center" vertical="center"/>
    </xf>
    <xf numFmtId="41" fontId="6" fillId="0" borderId="1" xfId="1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1" fontId="5" fillId="0" borderId="0" xfId="1" applyFont="1" applyAlignment="1">
      <alignment vertical="center"/>
    </xf>
    <xf numFmtId="0" fontId="5" fillId="0" borderId="1" xfId="0" applyFont="1" applyBorder="1" applyAlignment="1">
      <alignment vertical="center"/>
    </xf>
    <xf numFmtId="42" fontId="6" fillId="0" borderId="1" xfId="2" applyFont="1" applyBorder="1" applyAlignment="1">
      <alignment horizontal="center" vertical="center"/>
    </xf>
    <xf numFmtId="14" fontId="5" fillId="0" borderId="1" xfId="0" applyNumberFormat="1" applyFont="1" applyBorder="1" applyAlignment="1">
      <alignment vertical="center"/>
    </xf>
    <xf numFmtId="41" fontId="5" fillId="0" borderId="1" xfId="1" applyFont="1" applyBorder="1" applyAlignment="1">
      <alignment vertical="center"/>
    </xf>
    <xf numFmtId="9" fontId="5" fillId="0" borderId="1" xfId="1" applyNumberFormat="1" applyFont="1" applyBorder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5" xfId="0" applyFont="1" applyFill="1" applyBorder="1" applyAlignment="1">
      <alignment vertical="center"/>
    </xf>
    <xf numFmtId="22" fontId="5" fillId="4" borderId="5" xfId="0" applyNumberFormat="1" applyFont="1" applyFill="1" applyBorder="1" applyAlignment="1">
      <alignment vertical="center"/>
    </xf>
    <xf numFmtId="0" fontId="5" fillId="5" borderId="6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22" fontId="5" fillId="5" borderId="2" xfId="0" applyNumberFormat="1" applyFont="1" applyFill="1" applyBorder="1" applyAlignment="1">
      <alignment vertical="center"/>
    </xf>
    <xf numFmtId="0" fontId="5" fillId="4" borderId="6" xfId="0" applyFont="1" applyFill="1" applyBorder="1" applyAlignment="1">
      <alignment vertical="center"/>
    </xf>
    <xf numFmtId="22" fontId="5" fillId="4" borderId="2" xfId="0" applyNumberFormat="1" applyFont="1" applyFill="1" applyBorder="1" applyAlignment="1">
      <alignment vertical="center"/>
    </xf>
    <xf numFmtId="178" fontId="5" fillId="0" borderId="0" xfId="0" applyNumberFormat="1" applyFont="1" applyAlignment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5" fillId="0" borderId="1" xfId="1" applyNumberFormat="1" applyFont="1" applyBorder="1" applyAlignment="1">
      <alignment vertical="center"/>
    </xf>
    <xf numFmtId="0" fontId="8" fillId="0" borderId="0" xfId="0" applyFont="1" applyAlignme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 val="0"/>
        <i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장난감 분류별 매출 분석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총대여건수</c:v>
                </c:pt>
              </c:strCache>
            </c:strRef>
          </c:tx>
          <c:invertIfNegative val="0"/>
          <c:cat>
            <c:strRef>
              <c:f>'기타작업-1'!$B$3:$B$7</c:f>
              <c:strCache>
                <c:ptCount val="5"/>
                <c:pt idx="0">
                  <c:v>교육완구</c:v>
                </c:pt>
                <c:pt idx="1">
                  <c:v>블록/퍼즐</c:v>
                </c:pt>
                <c:pt idx="2">
                  <c:v>신생아완구</c:v>
                </c:pt>
                <c:pt idx="3">
                  <c:v>운동완구</c:v>
                </c:pt>
                <c:pt idx="4">
                  <c:v>작동/조립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7</c:v>
                </c:pt>
                <c:pt idx="1">
                  <c:v>2</c:v>
                </c:pt>
                <c:pt idx="2">
                  <c:v>1</c:v>
                </c:pt>
                <c:pt idx="3">
                  <c:v>15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731072"/>
        <c:axId val="44060032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총대여금액</c:v>
                </c:pt>
              </c:strCache>
            </c:strRef>
          </c:tx>
          <c:dLbls>
            <c:dLbl>
              <c:idx val="2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l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'기타작업-1'!$B$3:$B$7</c:f>
              <c:strCache>
                <c:ptCount val="5"/>
                <c:pt idx="0">
                  <c:v>교육완구</c:v>
                </c:pt>
                <c:pt idx="1">
                  <c:v>블록/퍼즐</c:v>
                </c:pt>
                <c:pt idx="2">
                  <c:v>신생아완구</c:v>
                </c:pt>
                <c:pt idx="3">
                  <c:v>운동완구</c:v>
                </c:pt>
                <c:pt idx="4">
                  <c:v>작동/조립</c:v>
                </c:pt>
              </c:strCache>
            </c:strRef>
          </c:cat>
          <c:val>
            <c:numRef>
              <c:f>'기타작업-1'!$D$3:$D$7</c:f>
              <c:numCache>
                <c:formatCode>_(* #,##0_);_(* \(#,##0\);_(* "-"_);_(@_)</c:formatCode>
                <c:ptCount val="5"/>
                <c:pt idx="0">
                  <c:v>1750000</c:v>
                </c:pt>
                <c:pt idx="1">
                  <c:v>380000</c:v>
                </c:pt>
                <c:pt idx="2">
                  <c:v>1170000</c:v>
                </c:pt>
                <c:pt idx="3">
                  <c:v>1180000</c:v>
                </c:pt>
                <c:pt idx="4">
                  <c:v>390000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99552"/>
        <c:axId val="99401088"/>
      </c:lineChart>
      <c:catAx>
        <c:axId val="99399552"/>
        <c:scaling>
          <c:orientation val="minMax"/>
        </c:scaling>
        <c:delete val="0"/>
        <c:axPos val="b"/>
        <c:majorTickMark val="in"/>
        <c:minorTickMark val="none"/>
        <c:tickLblPos val="nextTo"/>
        <c:crossAx val="99401088"/>
        <c:crosses val="autoZero"/>
        <c:auto val="1"/>
        <c:lblAlgn val="ctr"/>
        <c:lblOffset val="100"/>
        <c:noMultiLvlLbl val="0"/>
      </c:catAx>
      <c:valAx>
        <c:axId val="9940108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_);_(@_)" sourceLinked="1"/>
        <c:majorTickMark val="in"/>
        <c:minorTickMark val="none"/>
        <c:tickLblPos val="nextTo"/>
        <c:crossAx val="99399552"/>
        <c:crosses val="autoZero"/>
        <c:crossBetween val="between"/>
        <c:dispUnits>
          <c:builtInUnit val="tenThousands"/>
          <c:dispUnitsLbl>
            <c:layout/>
            <c:tx>
              <c:rich>
                <a:bodyPr rot="0" vert="wordArtVertRtl"/>
                <a:lstStyle/>
                <a:p>
                  <a:pPr lvl="0" algn="ctr" rtl="0"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ko-KR" altLang="en-US"/>
                    <a:t>만</a:t>
                  </a:r>
                  <a:endParaRPr lang="en-US" altLang="ko-KR"/>
                </a:p>
              </c:rich>
            </c:tx>
          </c:dispUnitsLbl>
        </c:dispUnits>
      </c:valAx>
      <c:valAx>
        <c:axId val="4406003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대여건수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35731072"/>
        <c:crosses val="max"/>
        <c:crossBetween val="between"/>
      </c:valAx>
      <c:catAx>
        <c:axId val="135731072"/>
        <c:scaling>
          <c:orientation val="minMax"/>
        </c:scaling>
        <c:delete val="1"/>
        <c:axPos val="b"/>
        <c:majorTickMark val="out"/>
        <c:minorTickMark val="none"/>
        <c:tickLblPos val="nextTo"/>
        <c:crossAx val="44060032"/>
        <c:auto val="1"/>
        <c:lblAlgn val="ctr"/>
        <c:lblOffset val="100"/>
        <c:noMultiLvlLbl val="0"/>
      </c:catAx>
    </c:plotArea>
    <c:legend>
      <c:legendPos val="b"/>
      <c:layout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우수고객보기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8</xdr:row>
      <xdr:rowOff>0</xdr:rowOff>
    </xdr:from>
    <xdr:to>
      <xdr:col>9</xdr:col>
      <xdr:colOff>685799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9525</xdr:colOff>
          <xdr:row>2</xdr:row>
          <xdr:rowOff>123825</xdr:rowOff>
        </xdr:to>
        <xdr:sp macro="" textlink="">
          <xdr:nvSpPr>
            <xdr:cNvPr id="1025" name="cmd장난감검색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사용자" refreshedDate="44180.839324074077" createdVersion="4" refreshedVersion="4" minRefreshableVersion="3" recordCount="34">
  <cacheSource type="worksheet">
    <worksheetSource ref="A1:J35" sheet="분석작업-1"/>
  </cacheSource>
  <cacheFields count="10">
    <cacheField name="고객명" numFmtId="0">
      <sharedItems/>
    </cacheField>
    <cacheField name="회원구분" numFmtId="0">
      <sharedItems count="3">
        <s v="회원"/>
        <s v="비회원"/>
        <s v="그룹"/>
      </sharedItems>
    </cacheField>
    <cacheField name="고객등급" numFmtId="0">
      <sharedItems/>
    </cacheField>
    <cacheField name="분류명" numFmtId="0">
      <sharedItems count="5">
        <s v="교육완구"/>
        <s v="블록/퍼즐"/>
        <s v="신생아완구"/>
        <s v="작동/조립"/>
        <s v="운동완구"/>
      </sharedItems>
    </cacheField>
    <cacheField name="장난감이름" numFmtId="0">
      <sharedItems/>
    </cacheField>
    <cacheField name="대여일자" numFmtId="14">
      <sharedItems containsSemiMixedTypes="0" containsNonDate="0" containsDate="1" containsString="0" minDate="2017-01-05T00:00:00" maxDate="2017-06-01T00:00:00" count="31">
        <d v="2017-01-05T00:00:00"/>
        <d v="2017-02-01T00:00:00"/>
        <d v="2017-02-26T00:00:00"/>
        <d v="2017-02-03T00:00:00"/>
        <d v="2017-03-09T00:00:00"/>
        <d v="2017-03-25T00:00:00"/>
        <d v="2017-04-01T00:00:00"/>
        <d v="2017-04-15T00:00:00"/>
        <d v="2017-04-20T00:00:00"/>
        <d v="2017-04-22T00:00:00"/>
        <d v="2017-04-30T00:00:00"/>
        <d v="2017-05-03T00:00:00"/>
        <d v="2017-05-06T00:00:00"/>
        <d v="2017-05-09T00:00:00"/>
        <d v="2017-05-14T00:00:00"/>
        <d v="2017-05-20T00:00:00"/>
        <d v="2017-02-05T00:00:00"/>
        <d v="2017-02-20T00:00:00"/>
        <d v="2017-02-21T00:00:00"/>
        <d v="2017-03-01T00:00:00"/>
        <d v="2017-03-04T00:00:00"/>
        <d v="2017-03-16T00:00:00"/>
        <d v="2017-03-30T00:00:00"/>
        <d v="2017-04-02T00:00:00"/>
        <d v="2017-04-06T00:00:00"/>
        <d v="2017-04-14T00:00:00"/>
        <d v="2017-04-18T00:00:00"/>
        <d v="2017-05-10T00:00:00"/>
        <d v="2017-05-15T00:00:00"/>
        <d v="2017-05-25T00:00:00"/>
        <d v="2017-05-31T00:00:00"/>
      </sharedItems>
      <fieldGroup base="5">
        <rangePr groupBy="months" startDate="2017-01-05T00:00:00" endDate="2017-06-01T00:00:00"/>
        <groupItems count="14">
          <s v="&lt;2017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7-06-01"/>
        </groupItems>
      </fieldGroup>
    </cacheField>
    <cacheField name="대여기간" numFmtId="0">
      <sharedItems containsSemiMixedTypes="0" containsString="0" containsNumber="1" containsInteger="1" minValue="1" maxValue="6"/>
    </cacheField>
    <cacheField name="1회대여료" numFmtId="41">
      <sharedItems containsSemiMixedTypes="0" containsString="0" containsNumber="1" containsInteger="1" minValue="5000" maxValue="35000"/>
    </cacheField>
    <cacheField name="총대여료" numFmtId="41">
      <sharedItems containsSemiMixedTypes="0" containsString="0" containsNumber="1" containsInteger="1" minValue="10000" maxValue="175000"/>
    </cacheField>
    <cacheField name="적립포인트" numFmtId="41">
      <sharedItems containsSemiMixedTypes="0" containsString="0" containsNumber="1" containsInteger="1" minValue="1000" maxValue="17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s v="강나리"/>
    <x v="0"/>
    <s v="A"/>
    <x v="0"/>
    <s v="세계지도 만국기"/>
    <x v="0"/>
    <n v="2"/>
    <n v="5000"/>
    <n v="10000"/>
    <n v="1000"/>
  </r>
  <r>
    <s v="김훈학"/>
    <x v="0"/>
    <s v="B"/>
    <x v="0"/>
    <s v="원목 실꿰기"/>
    <x v="1"/>
    <n v="4"/>
    <n v="10000"/>
    <n v="40000"/>
    <n v="4000"/>
  </r>
  <r>
    <s v="박현정"/>
    <x v="0"/>
    <s v="C"/>
    <x v="1"/>
    <s v="뽀로로 고속열차"/>
    <x v="2"/>
    <n v="3"/>
    <n v="10000"/>
    <n v="30000"/>
    <n v="3000"/>
  </r>
  <r>
    <s v="한서연"/>
    <x v="1"/>
    <s v="C"/>
    <x v="2"/>
    <s v="엑서 쏘서"/>
    <x v="3"/>
    <n v="5"/>
    <n v="35000"/>
    <n v="175000"/>
    <n v="17500"/>
  </r>
  <r>
    <s v="김세환"/>
    <x v="1"/>
    <s v="C"/>
    <x v="3"/>
    <s v="레고"/>
    <x v="4"/>
    <n v="5"/>
    <n v="15000"/>
    <n v="75000"/>
    <n v="7500"/>
  </r>
  <r>
    <s v="민병철"/>
    <x v="2"/>
    <s v="A"/>
    <x v="4"/>
    <s v="뿡뿡이 자전거"/>
    <x v="5"/>
    <n v="6"/>
    <n v="10000"/>
    <n v="60000"/>
    <n v="6000"/>
  </r>
  <r>
    <s v="신태현"/>
    <x v="2"/>
    <s v="C"/>
    <x v="2"/>
    <s v="바운서"/>
    <x v="6"/>
    <n v="3"/>
    <n v="10000"/>
    <n v="30000"/>
    <n v="3000"/>
  </r>
  <r>
    <s v="양지혜"/>
    <x v="2"/>
    <s v="B"/>
    <x v="3"/>
    <s v="뽀로로 어린이버스"/>
    <x v="7"/>
    <n v="4"/>
    <n v="10000"/>
    <n v="40000"/>
    <n v="4000"/>
  </r>
  <r>
    <s v="이진욱"/>
    <x v="0"/>
    <s v="A"/>
    <x v="2"/>
    <s v="베베 블록"/>
    <x v="8"/>
    <n v="4"/>
    <n v="10000"/>
    <n v="40000"/>
    <n v="4000"/>
  </r>
  <r>
    <s v="김길창"/>
    <x v="1"/>
    <s v="A"/>
    <x v="0"/>
    <s v="미미 컴퓨터"/>
    <x v="9"/>
    <n v="4"/>
    <n v="10000"/>
    <n v="40000"/>
    <n v="4000"/>
  </r>
  <r>
    <s v="김대희"/>
    <x v="0"/>
    <s v="C"/>
    <x v="4"/>
    <s v="스텝2 미끄럼틀"/>
    <x v="10"/>
    <n v="2"/>
    <n v="10000"/>
    <n v="20000"/>
    <n v="2000"/>
  </r>
  <r>
    <s v="나영길"/>
    <x v="1"/>
    <s v="C"/>
    <x v="1"/>
    <s v="트레스포트"/>
    <x v="11"/>
    <n v="3"/>
    <n v="15000"/>
    <n v="45000"/>
    <n v="4500"/>
  </r>
  <r>
    <s v="민주희"/>
    <x v="2"/>
    <s v="B"/>
    <x v="0"/>
    <s v="가베"/>
    <x v="12"/>
    <n v="5"/>
    <n v="30000"/>
    <n v="150000"/>
    <n v="15000"/>
  </r>
  <r>
    <s v="박영만"/>
    <x v="0"/>
    <s v="A"/>
    <x v="0"/>
    <s v="은물"/>
    <x v="13"/>
    <n v="3"/>
    <n v="30000"/>
    <n v="90000"/>
    <n v="9000"/>
  </r>
  <r>
    <s v="이종대"/>
    <x v="0"/>
    <s v="C"/>
    <x v="2"/>
    <s v="러닝홈"/>
    <x v="14"/>
    <n v="4"/>
    <n v="25000"/>
    <n v="100000"/>
    <n v="10000"/>
  </r>
  <r>
    <s v="조영달"/>
    <x v="0"/>
    <s v="B"/>
    <x v="3"/>
    <s v="뽀로로 구조대"/>
    <x v="15"/>
    <n v="3"/>
    <n v="15000"/>
    <n v="45000"/>
    <n v="4500"/>
  </r>
  <r>
    <s v="김성실"/>
    <x v="1"/>
    <s v="B"/>
    <x v="4"/>
    <s v="그네"/>
    <x v="16"/>
    <n v="2"/>
    <n v="10000"/>
    <n v="20000"/>
    <n v="2000"/>
  </r>
  <r>
    <s v="김영희"/>
    <x v="0"/>
    <s v="B"/>
    <x v="3"/>
    <s v="자동차"/>
    <x v="17"/>
    <n v="3"/>
    <n v="15000"/>
    <n v="45000"/>
    <n v="4500"/>
  </r>
  <r>
    <s v="구원희"/>
    <x v="0"/>
    <s v="B"/>
    <x v="1"/>
    <s v="헬로키티 펜션여행"/>
    <x v="18"/>
    <n v="5"/>
    <n v="20000"/>
    <n v="100000"/>
    <n v="10000"/>
  </r>
  <r>
    <s v="정명희"/>
    <x v="1"/>
    <s v="C"/>
    <x v="2"/>
    <s v="아기체육관"/>
    <x v="19"/>
    <n v="5"/>
    <n v="15000"/>
    <n v="75000"/>
    <n v="7500"/>
  </r>
  <r>
    <s v="진아영"/>
    <x v="0"/>
    <s v="A"/>
    <x v="1"/>
    <s v="뽀로로 기차"/>
    <x v="20"/>
    <n v="4"/>
    <n v="10000"/>
    <n v="40000"/>
    <n v="4000"/>
  </r>
  <r>
    <s v="서진숙"/>
    <x v="1"/>
    <s v="B"/>
    <x v="4"/>
    <s v="농구대"/>
    <x v="21"/>
    <n v="3"/>
    <n v="10000"/>
    <n v="30000"/>
    <n v="3000"/>
  </r>
  <r>
    <s v="권희숙"/>
    <x v="0"/>
    <s v="B"/>
    <x v="1"/>
    <s v="뽀로로 고속열차"/>
    <x v="22"/>
    <n v="2"/>
    <n v="10000"/>
    <n v="20000"/>
    <n v="2000"/>
  </r>
  <r>
    <s v="황전구"/>
    <x v="2"/>
    <s v="B"/>
    <x v="2"/>
    <s v="클래식 아기별상자"/>
    <x v="23"/>
    <n v="1"/>
    <n v="10000"/>
    <n v="10000"/>
    <n v="1000"/>
  </r>
  <r>
    <s v="오나라"/>
    <x v="0"/>
    <s v="C"/>
    <x v="2"/>
    <s v="도형놀이"/>
    <x v="24"/>
    <n v="2"/>
    <n v="5000"/>
    <n v="10000"/>
    <n v="1000"/>
  </r>
  <r>
    <s v="유채화"/>
    <x v="2"/>
    <s v="B"/>
    <x v="4"/>
    <s v="스텝2 말"/>
    <x v="25"/>
    <n v="5"/>
    <n v="5000"/>
    <n v="25000"/>
    <n v="2500"/>
  </r>
  <r>
    <s v="김사랑"/>
    <x v="0"/>
    <s v="B"/>
    <x v="1"/>
    <s v="헬로키티 펜션여행"/>
    <x v="26"/>
    <n v="3"/>
    <n v="20000"/>
    <n v="60000"/>
    <n v="6000"/>
  </r>
  <r>
    <s v="한나리"/>
    <x v="0"/>
    <s v="C"/>
    <x v="2"/>
    <s v="빙글빙글 동물친구"/>
    <x v="8"/>
    <n v="3"/>
    <n v="5000"/>
    <n v="15000"/>
    <n v="1500"/>
  </r>
  <r>
    <s v="조절해"/>
    <x v="1"/>
    <s v="B"/>
    <x v="2"/>
    <s v="베베 블록"/>
    <x v="10"/>
    <n v="3"/>
    <n v="10000"/>
    <n v="30000"/>
    <n v="3000"/>
  </r>
  <r>
    <s v="이기자"/>
    <x v="0"/>
    <s v="A"/>
    <x v="0"/>
    <s v="준은물"/>
    <x v="11"/>
    <n v="3"/>
    <n v="30000"/>
    <n v="90000"/>
    <n v="9000"/>
  </r>
  <r>
    <s v="김규리"/>
    <x v="1"/>
    <s v="C"/>
    <x v="1"/>
    <s v="헬로키티 주방블록"/>
    <x v="27"/>
    <n v="4"/>
    <n v="20000"/>
    <n v="80000"/>
    <n v="8000"/>
  </r>
  <r>
    <s v="김나비"/>
    <x v="2"/>
    <s v="B"/>
    <x v="2"/>
    <s v="클래식 아기별상자"/>
    <x v="28"/>
    <n v="4"/>
    <n v="10000"/>
    <n v="40000"/>
    <n v="4000"/>
  </r>
  <r>
    <s v="김윤선"/>
    <x v="0"/>
    <s v="A"/>
    <x v="4"/>
    <s v="보행기"/>
    <x v="29"/>
    <n v="3"/>
    <n v="5000"/>
    <n v="15000"/>
    <n v="1500"/>
  </r>
  <r>
    <s v="마소희"/>
    <x v="1"/>
    <s v="B"/>
    <x v="3"/>
    <s v="소방차"/>
    <x v="30"/>
    <n v="1"/>
    <n v="15000"/>
    <n v="15000"/>
    <n v="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7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L5:R12" firstHeaderRow="1" firstDataRow="2" firstDataCol="1" rowPageCount="1" colPageCount="1"/>
  <pivotFields count="10">
    <pivotField compact="0" showAll="0"/>
    <pivotField axis="axisPage" compact="0" showAll="0">
      <items count="4">
        <item x="2"/>
        <item x="1"/>
        <item x="0"/>
        <item t="default"/>
      </items>
    </pivotField>
    <pivotField compact="0" showAll="0"/>
    <pivotField axis="axisCol" compact="0" showAll="0" sortType="descending">
      <items count="6">
        <item x="3"/>
        <item x="4"/>
        <item x="2"/>
        <item x="1"/>
        <item x="0"/>
        <item t="default"/>
      </items>
    </pivotField>
    <pivotField compact="0" showAll="0"/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numFmtId="41" showAll="0"/>
    <pivotField dataField="1" compact="0" numFmtId="41" showAll="0"/>
    <pivotField compact="0" numFmtId="41" showAll="0"/>
  </pivotFields>
  <rowFields count="1">
    <field x="5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" item="2" hier="-1"/>
  </pageFields>
  <dataFields count="1">
    <dataField name="합계 : 총대여료" fld="8" baseField="5" baseItem="1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16"/>
  <sheetViews>
    <sheetView workbookViewId="0">
      <selection activeCell="B3" sqref="B3:J16"/>
    </sheetView>
  </sheetViews>
  <sheetFormatPr defaultColWidth="9" defaultRowHeight="16.5"/>
  <cols>
    <col min="1" max="1" width="9" style="12"/>
    <col min="2" max="2" width="9.5" style="12" bestFit="1" customWidth="1"/>
    <col min="3" max="3" width="11.25" style="12" bestFit="1" customWidth="1"/>
    <col min="4" max="4" width="9.375" style="12" bestFit="1" customWidth="1"/>
    <col min="5" max="5" width="11.375" style="12" bestFit="1" customWidth="1"/>
    <col min="6" max="6" width="17.875" style="12" bestFit="1" customWidth="1"/>
    <col min="7" max="7" width="15.5" style="12" bestFit="1" customWidth="1"/>
    <col min="8" max="8" width="11.25" style="12" bestFit="1" customWidth="1"/>
    <col min="9" max="9" width="12.375" style="12" bestFit="1" customWidth="1"/>
    <col min="10" max="10" width="13.25" style="12" bestFit="1" customWidth="1"/>
    <col min="11" max="16384" width="9" style="12"/>
  </cols>
  <sheetData>
    <row r="3" spans="2:10" ht="17.25" thickBot="1">
      <c r="B3" s="23" t="s">
        <v>311</v>
      </c>
      <c r="C3" s="24" t="s">
        <v>312</v>
      </c>
      <c r="D3" s="24" t="s">
        <v>229</v>
      </c>
      <c r="E3" s="24" t="s">
        <v>313</v>
      </c>
      <c r="F3" s="24" t="s">
        <v>233</v>
      </c>
      <c r="G3" s="24" t="s">
        <v>234</v>
      </c>
      <c r="H3" s="24" t="s">
        <v>235</v>
      </c>
      <c r="I3" s="24" t="s">
        <v>236</v>
      </c>
      <c r="J3" s="24" t="s">
        <v>238</v>
      </c>
    </row>
    <row r="4" spans="2:10" ht="17.25" thickTop="1">
      <c r="B4" s="25" t="s">
        <v>314</v>
      </c>
      <c r="C4" s="26" t="s">
        <v>315</v>
      </c>
      <c r="D4" s="26" t="s">
        <v>277</v>
      </c>
      <c r="E4" s="26" t="s">
        <v>316</v>
      </c>
      <c r="F4" s="26" t="s">
        <v>278</v>
      </c>
      <c r="G4" s="27">
        <v>42144</v>
      </c>
      <c r="H4" s="26">
        <v>3</v>
      </c>
      <c r="I4" s="26">
        <v>15000</v>
      </c>
      <c r="J4" s="26">
        <v>4500</v>
      </c>
    </row>
    <row r="5" spans="2:10">
      <c r="B5" s="28" t="s">
        <v>317</v>
      </c>
      <c r="C5" s="29" t="s">
        <v>318</v>
      </c>
      <c r="D5" s="29" t="s">
        <v>275</v>
      </c>
      <c r="E5" s="29" t="s">
        <v>37</v>
      </c>
      <c r="F5" s="29" t="s">
        <v>276</v>
      </c>
      <c r="G5" s="30">
        <v>42138</v>
      </c>
      <c r="H5" s="29">
        <v>4</v>
      </c>
      <c r="I5" s="29">
        <v>25000</v>
      </c>
      <c r="J5" s="29">
        <v>10000</v>
      </c>
    </row>
    <row r="6" spans="2:10">
      <c r="B6" s="31" t="s">
        <v>319</v>
      </c>
      <c r="C6" s="22" t="s">
        <v>320</v>
      </c>
      <c r="D6" s="22" t="s">
        <v>304</v>
      </c>
      <c r="E6" s="22" t="s">
        <v>33</v>
      </c>
      <c r="F6" s="22" t="s">
        <v>305</v>
      </c>
      <c r="G6" s="32">
        <v>42134</v>
      </c>
      <c r="H6" s="22">
        <v>4</v>
      </c>
      <c r="I6" s="22">
        <v>20000</v>
      </c>
      <c r="J6" s="22">
        <v>8000</v>
      </c>
    </row>
    <row r="7" spans="2:10">
      <c r="B7" s="28" t="s">
        <v>321</v>
      </c>
      <c r="C7" s="29" t="s">
        <v>322</v>
      </c>
      <c r="D7" s="29" t="s">
        <v>273</v>
      </c>
      <c r="E7" s="29" t="s">
        <v>323</v>
      </c>
      <c r="F7" s="29" t="s">
        <v>274</v>
      </c>
      <c r="G7" s="30">
        <v>42133</v>
      </c>
      <c r="H7" s="29">
        <v>3</v>
      </c>
      <c r="I7" s="29">
        <v>30000</v>
      </c>
      <c r="J7" s="29">
        <v>9000</v>
      </c>
    </row>
    <row r="8" spans="2:10">
      <c r="B8" s="31" t="s">
        <v>324</v>
      </c>
      <c r="C8" s="22" t="s">
        <v>325</v>
      </c>
      <c r="D8" s="22" t="s">
        <v>271</v>
      </c>
      <c r="E8" s="22" t="s">
        <v>326</v>
      </c>
      <c r="F8" s="22" t="s">
        <v>272</v>
      </c>
      <c r="G8" s="32">
        <v>42130</v>
      </c>
      <c r="H8" s="22">
        <v>5</v>
      </c>
      <c r="I8" s="22">
        <v>30000</v>
      </c>
      <c r="J8" s="22">
        <v>15000</v>
      </c>
    </row>
    <row r="9" spans="2:10">
      <c r="B9" s="28" t="s">
        <v>327</v>
      </c>
      <c r="C9" s="29" t="s">
        <v>328</v>
      </c>
      <c r="D9" s="29" t="s">
        <v>269</v>
      </c>
      <c r="E9" s="29" t="s">
        <v>39</v>
      </c>
      <c r="F9" s="29" t="s">
        <v>270</v>
      </c>
      <c r="G9" s="30">
        <v>42127</v>
      </c>
      <c r="H9" s="29">
        <v>3</v>
      </c>
      <c r="I9" s="29">
        <v>15000</v>
      </c>
      <c r="J9" s="29">
        <v>4500</v>
      </c>
    </row>
    <row r="10" spans="2:10">
      <c r="B10" s="31" t="s">
        <v>329</v>
      </c>
      <c r="C10" s="22" t="s">
        <v>330</v>
      </c>
      <c r="D10" s="22" t="s">
        <v>302</v>
      </c>
      <c r="E10" s="22" t="s">
        <v>331</v>
      </c>
      <c r="F10" s="22" t="s">
        <v>303</v>
      </c>
      <c r="G10" s="32">
        <v>42127</v>
      </c>
      <c r="H10" s="22">
        <v>3</v>
      </c>
      <c r="I10" s="22">
        <v>30000</v>
      </c>
      <c r="J10" s="22">
        <v>9000</v>
      </c>
    </row>
    <row r="11" spans="2:10">
      <c r="B11" s="28" t="s">
        <v>332</v>
      </c>
      <c r="C11" s="29" t="s">
        <v>333</v>
      </c>
      <c r="D11" s="29" t="s">
        <v>298</v>
      </c>
      <c r="E11" s="29" t="s">
        <v>35</v>
      </c>
      <c r="F11" s="29" t="s">
        <v>284</v>
      </c>
      <c r="G11" s="30">
        <v>42112</v>
      </c>
      <c r="H11" s="29">
        <v>3</v>
      </c>
      <c r="I11" s="29">
        <v>20000</v>
      </c>
      <c r="J11" s="29">
        <v>6000</v>
      </c>
    </row>
    <row r="12" spans="2:10">
      <c r="B12" s="31" t="s">
        <v>334</v>
      </c>
      <c r="C12" s="22" t="s">
        <v>335</v>
      </c>
      <c r="D12" s="22" t="s">
        <v>252</v>
      </c>
      <c r="E12" s="22" t="s">
        <v>336</v>
      </c>
      <c r="F12" s="22" t="s">
        <v>254</v>
      </c>
      <c r="G12" s="32">
        <v>42072</v>
      </c>
      <c r="H12" s="22">
        <v>5</v>
      </c>
      <c r="I12" s="22">
        <v>15000</v>
      </c>
      <c r="J12" s="22">
        <v>7500</v>
      </c>
    </row>
    <row r="13" spans="2:10">
      <c r="B13" s="28" t="s">
        <v>337</v>
      </c>
      <c r="C13" s="29" t="s">
        <v>338</v>
      </c>
      <c r="D13" s="29" t="s">
        <v>285</v>
      </c>
      <c r="E13" s="29" t="s">
        <v>47</v>
      </c>
      <c r="F13" s="29" t="s">
        <v>286</v>
      </c>
      <c r="G13" s="30">
        <v>42064</v>
      </c>
      <c r="H13" s="29">
        <v>5</v>
      </c>
      <c r="I13" s="29">
        <v>15000</v>
      </c>
      <c r="J13" s="29">
        <v>7500</v>
      </c>
    </row>
    <row r="14" spans="2:10">
      <c r="B14" s="31" t="s">
        <v>339</v>
      </c>
      <c r="C14" s="22" t="s">
        <v>340</v>
      </c>
      <c r="D14" s="22" t="s">
        <v>283</v>
      </c>
      <c r="E14" s="22" t="s">
        <v>35</v>
      </c>
      <c r="F14" s="22" t="s">
        <v>284</v>
      </c>
      <c r="G14" s="32">
        <v>42056</v>
      </c>
      <c r="H14" s="22">
        <v>5</v>
      </c>
      <c r="I14" s="22">
        <v>20000</v>
      </c>
      <c r="J14" s="22">
        <v>10000</v>
      </c>
    </row>
    <row r="15" spans="2:10">
      <c r="B15" s="28" t="s">
        <v>341</v>
      </c>
      <c r="C15" s="29" t="s">
        <v>342</v>
      </c>
      <c r="D15" s="29" t="s">
        <v>281</v>
      </c>
      <c r="E15" s="29" t="s">
        <v>343</v>
      </c>
      <c r="F15" s="29" t="s">
        <v>282</v>
      </c>
      <c r="G15" s="30">
        <v>42055</v>
      </c>
      <c r="H15" s="29">
        <v>3</v>
      </c>
      <c r="I15" s="29">
        <v>15000</v>
      </c>
      <c r="J15" s="29">
        <v>4500</v>
      </c>
    </row>
    <row r="16" spans="2:10">
      <c r="B16" s="31" t="s">
        <v>344</v>
      </c>
      <c r="C16" s="22" t="s">
        <v>345</v>
      </c>
      <c r="D16" s="22" t="s">
        <v>248</v>
      </c>
      <c r="E16" s="22" t="s">
        <v>49</v>
      </c>
      <c r="F16" s="22" t="s">
        <v>251</v>
      </c>
      <c r="G16" s="32">
        <v>42038</v>
      </c>
      <c r="H16" s="22">
        <v>5</v>
      </c>
      <c r="I16" s="22">
        <v>35000</v>
      </c>
      <c r="J16" s="22">
        <v>17500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7"/>
  <sheetViews>
    <sheetView workbookViewId="0">
      <selection activeCell="M43" sqref="M43"/>
    </sheetView>
  </sheetViews>
  <sheetFormatPr defaultRowHeight="16.5"/>
  <cols>
    <col min="1" max="1" width="7.375" style="12" bestFit="1" customWidth="1"/>
    <col min="2" max="2" width="11.5" style="12" bestFit="1" customWidth="1"/>
    <col min="3" max="3" width="11.125" style="12" bestFit="1" customWidth="1"/>
    <col min="4" max="4" width="12.875" style="12" bestFit="1" customWidth="1"/>
    <col min="5" max="5" width="18" style="12" bestFit="1" customWidth="1"/>
    <col min="6" max="6" width="12.875" style="12" bestFit="1" customWidth="1"/>
    <col min="7" max="7" width="9.25" style="12" bestFit="1" customWidth="1"/>
    <col min="8" max="8" width="12.875" style="12" bestFit="1" customWidth="1"/>
    <col min="9" max="9" width="11.75" style="12" bestFit="1" customWidth="1"/>
    <col min="10" max="10" width="13" style="12" bestFit="1" customWidth="1"/>
    <col min="11" max="11" width="11.125" style="12" bestFit="1" customWidth="1"/>
    <col min="12" max="256" width="9" style="12"/>
    <col min="257" max="257" width="7.375" style="12" bestFit="1" customWidth="1"/>
    <col min="258" max="258" width="9.25" style="12" bestFit="1" customWidth="1"/>
    <col min="259" max="259" width="11.125" style="12" bestFit="1" customWidth="1"/>
    <col min="260" max="260" width="12.875" style="12" bestFit="1" customWidth="1"/>
    <col min="261" max="261" width="18" style="12" bestFit="1" customWidth="1"/>
    <col min="262" max="262" width="12.875" style="12" bestFit="1" customWidth="1"/>
    <col min="263" max="263" width="9.25" style="12" bestFit="1" customWidth="1"/>
    <col min="264" max="264" width="12.875" style="12" bestFit="1" customWidth="1"/>
    <col min="265" max="265" width="11.75" style="12" bestFit="1" customWidth="1"/>
    <col min="266" max="266" width="13" style="12" bestFit="1" customWidth="1"/>
    <col min="267" max="267" width="11.125" style="12" bestFit="1" customWidth="1"/>
    <col min="268" max="512" width="9" style="12"/>
    <col min="513" max="513" width="7.375" style="12" bestFit="1" customWidth="1"/>
    <col min="514" max="514" width="9.25" style="12" bestFit="1" customWidth="1"/>
    <col min="515" max="515" width="11.125" style="12" bestFit="1" customWidth="1"/>
    <col min="516" max="516" width="12.875" style="12" bestFit="1" customWidth="1"/>
    <col min="517" max="517" width="18" style="12" bestFit="1" customWidth="1"/>
    <col min="518" max="518" width="12.875" style="12" bestFit="1" customWidth="1"/>
    <col min="519" max="519" width="9.25" style="12" bestFit="1" customWidth="1"/>
    <col min="520" max="520" width="12.875" style="12" bestFit="1" customWidth="1"/>
    <col min="521" max="521" width="11.75" style="12" bestFit="1" customWidth="1"/>
    <col min="522" max="522" width="13" style="12" bestFit="1" customWidth="1"/>
    <col min="523" max="523" width="11.125" style="12" bestFit="1" customWidth="1"/>
    <col min="524" max="768" width="9" style="12"/>
    <col min="769" max="769" width="7.375" style="12" bestFit="1" customWidth="1"/>
    <col min="770" max="770" width="9.25" style="12" bestFit="1" customWidth="1"/>
    <col min="771" max="771" width="11.125" style="12" bestFit="1" customWidth="1"/>
    <col min="772" max="772" width="12.875" style="12" bestFit="1" customWidth="1"/>
    <col min="773" max="773" width="18" style="12" bestFit="1" customWidth="1"/>
    <col min="774" max="774" width="12.875" style="12" bestFit="1" customWidth="1"/>
    <col min="775" max="775" width="9.25" style="12" bestFit="1" customWidth="1"/>
    <col min="776" max="776" width="12.875" style="12" bestFit="1" customWidth="1"/>
    <col min="777" max="777" width="11.75" style="12" bestFit="1" customWidth="1"/>
    <col min="778" max="778" width="13" style="12" bestFit="1" customWidth="1"/>
    <col min="779" max="779" width="11.125" style="12" bestFit="1" customWidth="1"/>
    <col min="780" max="1024" width="9" style="12"/>
    <col min="1025" max="1025" width="7.375" style="12" bestFit="1" customWidth="1"/>
    <col min="1026" max="1026" width="9.25" style="12" bestFit="1" customWidth="1"/>
    <col min="1027" max="1027" width="11.125" style="12" bestFit="1" customWidth="1"/>
    <col min="1028" max="1028" width="12.875" style="12" bestFit="1" customWidth="1"/>
    <col min="1029" max="1029" width="18" style="12" bestFit="1" customWidth="1"/>
    <col min="1030" max="1030" width="12.875" style="12" bestFit="1" customWidth="1"/>
    <col min="1031" max="1031" width="9.25" style="12" bestFit="1" customWidth="1"/>
    <col min="1032" max="1032" width="12.875" style="12" bestFit="1" customWidth="1"/>
    <col min="1033" max="1033" width="11.75" style="12" bestFit="1" customWidth="1"/>
    <col min="1034" max="1034" width="13" style="12" bestFit="1" customWidth="1"/>
    <col min="1035" max="1035" width="11.125" style="12" bestFit="1" customWidth="1"/>
    <col min="1036" max="1280" width="9" style="12"/>
    <col min="1281" max="1281" width="7.375" style="12" bestFit="1" customWidth="1"/>
    <col min="1282" max="1282" width="9.25" style="12" bestFit="1" customWidth="1"/>
    <col min="1283" max="1283" width="11.125" style="12" bestFit="1" customWidth="1"/>
    <col min="1284" max="1284" width="12.875" style="12" bestFit="1" customWidth="1"/>
    <col min="1285" max="1285" width="18" style="12" bestFit="1" customWidth="1"/>
    <col min="1286" max="1286" width="12.875" style="12" bestFit="1" customWidth="1"/>
    <col min="1287" max="1287" width="9.25" style="12" bestFit="1" customWidth="1"/>
    <col min="1288" max="1288" width="12.875" style="12" bestFit="1" customWidth="1"/>
    <col min="1289" max="1289" width="11.75" style="12" bestFit="1" customWidth="1"/>
    <col min="1290" max="1290" width="13" style="12" bestFit="1" customWidth="1"/>
    <col min="1291" max="1291" width="11.125" style="12" bestFit="1" customWidth="1"/>
    <col min="1292" max="1536" width="9" style="12"/>
    <col min="1537" max="1537" width="7.375" style="12" bestFit="1" customWidth="1"/>
    <col min="1538" max="1538" width="9.25" style="12" bestFit="1" customWidth="1"/>
    <col min="1539" max="1539" width="11.125" style="12" bestFit="1" customWidth="1"/>
    <col min="1540" max="1540" width="12.875" style="12" bestFit="1" customWidth="1"/>
    <col min="1541" max="1541" width="18" style="12" bestFit="1" customWidth="1"/>
    <col min="1542" max="1542" width="12.875" style="12" bestFit="1" customWidth="1"/>
    <col min="1543" max="1543" width="9.25" style="12" bestFit="1" customWidth="1"/>
    <col min="1544" max="1544" width="12.875" style="12" bestFit="1" customWidth="1"/>
    <col min="1545" max="1545" width="11.75" style="12" bestFit="1" customWidth="1"/>
    <col min="1546" max="1546" width="13" style="12" bestFit="1" customWidth="1"/>
    <col min="1547" max="1547" width="11.125" style="12" bestFit="1" customWidth="1"/>
    <col min="1548" max="1792" width="9" style="12"/>
    <col min="1793" max="1793" width="7.375" style="12" bestFit="1" customWidth="1"/>
    <col min="1794" max="1794" width="9.25" style="12" bestFit="1" customWidth="1"/>
    <col min="1795" max="1795" width="11.125" style="12" bestFit="1" customWidth="1"/>
    <col min="1796" max="1796" width="12.875" style="12" bestFit="1" customWidth="1"/>
    <col min="1797" max="1797" width="18" style="12" bestFit="1" customWidth="1"/>
    <col min="1798" max="1798" width="12.875" style="12" bestFit="1" customWidth="1"/>
    <col min="1799" max="1799" width="9.25" style="12" bestFit="1" customWidth="1"/>
    <col min="1800" max="1800" width="12.875" style="12" bestFit="1" customWidth="1"/>
    <col min="1801" max="1801" width="11.75" style="12" bestFit="1" customWidth="1"/>
    <col min="1802" max="1802" width="13" style="12" bestFit="1" customWidth="1"/>
    <col min="1803" max="1803" width="11.125" style="12" bestFit="1" customWidth="1"/>
    <col min="1804" max="2048" width="9" style="12"/>
    <col min="2049" max="2049" width="7.375" style="12" bestFit="1" customWidth="1"/>
    <col min="2050" max="2050" width="9.25" style="12" bestFit="1" customWidth="1"/>
    <col min="2051" max="2051" width="11.125" style="12" bestFit="1" customWidth="1"/>
    <col min="2052" max="2052" width="12.875" style="12" bestFit="1" customWidth="1"/>
    <col min="2053" max="2053" width="18" style="12" bestFit="1" customWidth="1"/>
    <col min="2054" max="2054" width="12.875" style="12" bestFit="1" customWidth="1"/>
    <col min="2055" max="2055" width="9.25" style="12" bestFit="1" customWidth="1"/>
    <col min="2056" max="2056" width="12.875" style="12" bestFit="1" customWidth="1"/>
    <col min="2057" max="2057" width="11.75" style="12" bestFit="1" customWidth="1"/>
    <col min="2058" max="2058" width="13" style="12" bestFit="1" customWidth="1"/>
    <col min="2059" max="2059" width="11.125" style="12" bestFit="1" customWidth="1"/>
    <col min="2060" max="2304" width="9" style="12"/>
    <col min="2305" max="2305" width="7.375" style="12" bestFit="1" customWidth="1"/>
    <col min="2306" max="2306" width="9.25" style="12" bestFit="1" customWidth="1"/>
    <col min="2307" max="2307" width="11.125" style="12" bestFit="1" customWidth="1"/>
    <col min="2308" max="2308" width="12.875" style="12" bestFit="1" customWidth="1"/>
    <col min="2309" max="2309" width="18" style="12" bestFit="1" customWidth="1"/>
    <col min="2310" max="2310" width="12.875" style="12" bestFit="1" customWidth="1"/>
    <col min="2311" max="2311" width="9.25" style="12" bestFit="1" customWidth="1"/>
    <col min="2312" max="2312" width="12.875" style="12" bestFit="1" customWidth="1"/>
    <col min="2313" max="2313" width="11.75" style="12" bestFit="1" customWidth="1"/>
    <col min="2314" max="2314" width="13" style="12" bestFit="1" customWidth="1"/>
    <col min="2315" max="2315" width="11.125" style="12" bestFit="1" customWidth="1"/>
    <col min="2316" max="2560" width="9" style="12"/>
    <col min="2561" max="2561" width="7.375" style="12" bestFit="1" customWidth="1"/>
    <col min="2562" max="2562" width="9.25" style="12" bestFit="1" customWidth="1"/>
    <col min="2563" max="2563" width="11.125" style="12" bestFit="1" customWidth="1"/>
    <col min="2564" max="2564" width="12.875" style="12" bestFit="1" customWidth="1"/>
    <col min="2565" max="2565" width="18" style="12" bestFit="1" customWidth="1"/>
    <col min="2566" max="2566" width="12.875" style="12" bestFit="1" customWidth="1"/>
    <col min="2567" max="2567" width="9.25" style="12" bestFit="1" customWidth="1"/>
    <col min="2568" max="2568" width="12.875" style="12" bestFit="1" customWidth="1"/>
    <col min="2569" max="2569" width="11.75" style="12" bestFit="1" customWidth="1"/>
    <col min="2570" max="2570" width="13" style="12" bestFit="1" customWidth="1"/>
    <col min="2571" max="2571" width="11.125" style="12" bestFit="1" customWidth="1"/>
    <col min="2572" max="2816" width="9" style="12"/>
    <col min="2817" max="2817" width="7.375" style="12" bestFit="1" customWidth="1"/>
    <col min="2818" max="2818" width="9.25" style="12" bestFit="1" customWidth="1"/>
    <col min="2819" max="2819" width="11.125" style="12" bestFit="1" customWidth="1"/>
    <col min="2820" max="2820" width="12.875" style="12" bestFit="1" customWidth="1"/>
    <col min="2821" max="2821" width="18" style="12" bestFit="1" customWidth="1"/>
    <col min="2822" max="2822" width="12.875" style="12" bestFit="1" customWidth="1"/>
    <col min="2823" max="2823" width="9.25" style="12" bestFit="1" customWidth="1"/>
    <col min="2824" max="2824" width="12.875" style="12" bestFit="1" customWidth="1"/>
    <col min="2825" max="2825" width="11.75" style="12" bestFit="1" customWidth="1"/>
    <col min="2826" max="2826" width="13" style="12" bestFit="1" customWidth="1"/>
    <col min="2827" max="2827" width="11.125" style="12" bestFit="1" customWidth="1"/>
    <col min="2828" max="3072" width="9" style="12"/>
    <col min="3073" max="3073" width="7.375" style="12" bestFit="1" customWidth="1"/>
    <col min="3074" max="3074" width="9.25" style="12" bestFit="1" customWidth="1"/>
    <col min="3075" max="3075" width="11.125" style="12" bestFit="1" customWidth="1"/>
    <col min="3076" max="3076" width="12.875" style="12" bestFit="1" customWidth="1"/>
    <col min="3077" max="3077" width="18" style="12" bestFit="1" customWidth="1"/>
    <col min="3078" max="3078" width="12.875" style="12" bestFit="1" customWidth="1"/>
    <col min="3079" max="3079" width="9.25" style="12" bestFit="1" customWidth="1"/>
    <col min="3080" max="3080" width="12.875" style="12" bestFit="1" customWidth="1"/>
    <col min="3081" max="3081" width="11.75" style="12" bestFit="1" customWidth="1"/>
    <col min="3082" max="3082" width="13" style="12" bestFit="1" customWidth="1"/>
    <col min="3083" max="3083" width="11.125" style="12" bestFit="1" customWidth="1"/>
    <col min="3084" max="3328" width="9" style="12"/>
    <col min="3329" max="3329" width="7.375" style="12" bestFit="1" customWidth="1"/>
    <col min="3330" max="3330" width="9.25" style="12" bestFit="1" customWidth="1"/>
    <col min="3331" max="3331" width="11.125" style="12" bestFit="1" customWidth="1"/>
    <col min="3332" max="3332" width="12.875" style="12" bestFit="1" customWidth="1"/>
    <col min="3333" max="3333" width="18" style="12" bestFit="1" customWidth="1"/>
    <col min="3334" max="3334" width="12.875" style="12" bestFit="1" customWidth="1"/>
    <col min="3335" max="3335" width="9.25" style="12" bestFit="1" customWidth="1"/>
    <col min="3336" max="3336" width="12.875" style="12" bestFit="1" customWidth="1"/>
    <col min="3337" max="3337" width="11.75" style="12" bestFit="1" customWidth="1"/>
    <col min="3338" max="3338" width="13" style="12" bestFit="1" customWidth="1"/>
    <col min="3339" max="3339" width="11.125" style="12" bestFit="1" customWidth="1"/>
    <col min="3340" max="3584" width="9" style="12"/>
    <col min="3585" max="3585" width="7.375" style="12" bestFit="1" customWidth="1"/>
    <col min="3586" max="3586" width="9.25" style="12" bestFit="1" customWidth="1"/>
    <col min="3587" max="3587" width="11.125" style="12" bestFit="1" customWidth="1"/>
    <col min="3588" max="3588" width="12.875" style="12" bestFit="1" customWidth="1"/>
    <col min="3589" max="3589" width="18" style="12" bestFit="1" customWidth="1"/>
    <col min="3590" max="3590" width="12.875" style="12" bestFit="1" customWidth="1"/>
    <col min="3591" max="3591" width="9.25" style="12" bestFit="1" customWidth="1"/>
    <col min="3592" max="3592" width="12.875" style="12" bestFit="1" customWidth="1"/>
    <col min="3593" max="3593" width="11.75" style="12" bestFit="1" customWidth="1"/>
    <col min="3594" max="3594" width="13" style="12" bestFit="1" customWidth="1"/>
    <col min="3595" max="3595" width="11.125" style="12" bestFit="1" customWidth="1"/>
    <col min="3596" max="3840" width="9" style="12"/>
    <col min="3841" max="3841" width="7.375" style="12" bestFit="1" customWidth="1"/>
    <col min="3842" max="3842" width="9.25" style="12" bestFit="1" customWidth="1"/>
    <col min="3843" max="3843" width="11.125" style="12" bestFit="1" customWidth="1"/>
    <col min="3844" max="3844" width="12.875" style="12" bestFit="1" customWidth="1"/>
    <col min="3845" max="3845" width="18" style="12" bestFit="1" customWidth="1"/>
    <col min="3846" max="3846" width="12.875" style="12" bestFit="1" customWidth="1"/>
    <col min="3847" max="3847" width="9.25" style="12" bestFit="1" customWidth="1"/>
    <col min="3848" max="3848" width="12.875" style="12" bestFit="1" customWidth="1"/>
    <col min="3849" max="3849" width="11.75" style="12" bestFit="1" customWidth="1"/>
    <col min="3850" max="3850" width="13" style="12" bestFit="1" customWidth="1"/>
    <col min="3851" max="3851" width="11.125" style="12" bestFit="1" customWidth="1"/>
    <col min="3852" max="4096" width="9" style="12"/>
    <col min="4097" max="4097" width="7.375" style="12" bestFit="1" customWidth="1"/>
    <col min="4098" max="4098" width="9.25" style="12" bestFit="1" customWidth="1"/>
    <col min="4099" max="4099" width="11.125" style="12" bestFit="1" customWidth="1"/>
    <col min="4100" max="4100" width="12.875" style="12" bestFit="1" customWidth="1"/>
    <col min="4101" max="4101" width="18" style="12" bestFit="1" customWidth="1"/>
    <col min="4102" max="4102" width="12.875" style="12" bestFit="1" customWidth="1"/>
    <col min="4103" max="4103" width="9.25" style="12" bestFit="1" customWidth="1"/>
    <col min="4104" max="4104" width="12.875" style="12" bestFit="1" customWidth="1"/>
    <col min="4105" max="4105" width="11.75" style="12" bestFit="1" customWidth="1"/>
    <col min="4106" max="4106" width="13" style="12" bestFit="1" customWidth="1"/>
    <col min="4107" max="4107" width="11.125" style="12" bestFit="1" customWidth="1"/>
    <col min="4108" max="4352" width="9" style="12"/>
    <col min="4353" max="4353" width="7.375" style="12" bestFit="1" customWidth="1"/>
    <col min="4354" max="4354" width="9.25" style="12" bestFit="1" customWidth="1"/>
    <col min="4355" max="4355" width="11.125" style="12" bestFit="1" customWidth="1"/>
    <col min="4356" max="4356" width="12.875" style="12" bestFit="1" customWidth="1"/>
    <col min="4357" max="4357" width="18" style="12" bestFit="1" customWidth="1"/>
    <col min="4358" max="4358" width="12.875" style="12" bestFit="1" customWidth="1"/>
    <col min="4359" max="4359" width="9.25" style="12" bestFit="1" customWidth="1"/>
    <col min="4360" max="4360" width="12.875" style="12" bestFit="1" customWidth="1"/>
    <col min="4361" max="4361" width="11.75" style="12" bestFit="1" customWidth="1"/>
    <col min="4362" max="4362" width="13" style="12" bestFit="1" customWidth="1"/>
    <col min="4363" max="4363" width="11.125" style="12" bestFit="1" customWidth="1"/>
    <col min="4364" max="4608" width="9" style="12"/>
    <col min="4609" max="4609" width="7.375" style="12" bestFit="1" customWidth="1"/>
    <col min="4610" max="4610" width="9.25" style="12" bestFit="1" customWidth="1"/>
    <col min="4611" max="4611" width="11.125" style="12" bestFit="1" customWidth="1"/>
    <col min="4612" max="4612" width="12.875" style="12" bestFit="1" customWidth="1"/>
    <col min="4613" max="4613" width="18" style="12" bestFit="1" customWidth="1"/>
    <col min="4614" max="4614" width="12.875" style="12" bestFit="1" customWidth="1"/>
    <col min="4615" max="4615" width="9.25" style="12" bestFit="1" customWidth="1"/>
    <col min="4616" max="4616" width="12.875" style="12" bestFit="1" customWidth="1"/>
    <col min="4617" max="4617" width="11.75" style="12" bestFit="1" customWidth="1"/>
    <col min="4618" max="4618" width="13" style="12" bestFit="1" customWidth="1"/>
    <col min="4619" max="4619" width="11.125" style="12" bestFit="1" customWidth="1"/>
    <col min="4620" max="4864" width="9" style="12"/>
    <col min="4865" max="4865" width="7.375" style="12" bestFit="1" customWidth="1"/>
    <col min="4866" max="4866" width="9.25" style="12" bestFit="1" customWidth="1"/>
    <col min="4867" max="4867" width="11.125" style="12" bestFit="1" customWidth="1"/>
    <col min="4868" max="4868" width="12.875" style="12" bestFit="1" customWidth="1"/>
    <col min="4869" max="4869" width="18" style="12" bestFit="1" customWidth="1"/>
    <col min="4870" max="4870" width="12.875" style="12" bestFit="1" customWidth="1"/>
    <col min="4871" max="4871" width="9.25" style="12" bestFit="1" customWidth="1"/>
    <col min="4872" max="4872" width="12.875" style="12" bestFit="1" customWidth="1"/>
    <col min="4873" max="4873" width="11.75" style="12" bestFit="1" customWidth="1"/>
    <col min="4874" max="4874" width="13" style="12" bestFit="1" customWidth="1"/>
    <col min="4875" max="4875" width="11.125" style="12" bestFit="1" customWidth="1"/>
    <col min="4876" max="5120" width="9" style="12"/>
    <col min="5121" max="5121" width="7.375" style="12" bestFit="1" customWidth="1"/>
    <col min="5122" max="5122" width="9.25" style="12" bestFit="1" customWidth="1"/>
    <col min="5123" max="5123" width="11.125" style="12" bestFit="1" customWidth="1"/>
    <col min="5124" max="5124" width="12.875" style="12" bestFit="1" customWidth="1"/>
    <col min="5125" max="5125" width="18" style="12" bestFit="1" customWidth="1"/>
    <col min="5126" max="5126" width="12.875" style="12" bestFit="1" customWidth="1"/>
    <col min="5127" max="5127" width="9.25" style="12" bestFit="1" customWidth="1"/>
    <col min="5128" max="5128" width="12.875" style="12" bestFit="1" customWidth="1"/>
    <col min="5129" max="5129" width="11.75" style="12" bestFit="1" customWidth="1"/>
    <col min="5130" max="5130" width="13" style="12" bestFit="1" customWidth="1"/>
    <col min="5131" max="5131" width="11.125" style="12" bestFit="1" customWidth="1"/>
    <col min="5132" max="5376" width="9" style="12"/>
    <col min="5377" max="5377" width="7.375" style="12" bestFit="1" customWidth="1"/>
    <col min="5378" max="5378" width="9.25" style="12" bestFit="1" customWidth="1"/>
    <col min="5379" max="5379" width="11.125" style="12" bestFit="1" customWidth="1"/>
    <col min="5380" max="5380" width="12.875" style="12" bestFit="1" customWidth="1"/>
    <col min="5381" max="5381" width="18" style="12" bestFit="1" customWidth="1"/>
    <col min="5382" max="5382" width="12.875" style="12" bestFit="1" customWidth="1"/>
    <col min="5383" max="5383" width="9.25" style="12" bestFit="1" customWidth="1"/>
    <col min="5384" max="5384" width="12.875" style="12" bestFit="1" customWidth="1"/>
    <col min="5385" max="5385" width="11.75" style="12" bestFit="1" customWidth="1"/>
    <col min="5386" max="5386" width="13" style="12" bestFit="1" customWidth="1"/>
    <col min="5387" max="5387" width="11.125" style="12" bestFit="1" customWidth="1"/>
    <col min="5388" max="5632" width="9" style="12"/>
    <col min="5633" max="5633" width="7.375" style="12" bestFit="1" customWidth="1"/>
    <col min="5634" max="5634" width="9.25" style="12" bestFit="1" customWidth="1"/>
    <col min="5635" max="5635" width="11.125" style="12" bestFit="1" customWidth="1"/>
    <col min="5636" max="5636" width="12.875" style="12" bestFit="1" customWidth="1"/>
    <col min="5637" max="5637" width="18" style="12" bestFit="1" customWidth="1"/>
    <col min="5638" max="5638" width="12.875" style="12" bestFit="1" customWidth="1"/>
    <col min="5639" max="5639" width="9.25" style="12" bestFit="1" customWidth="1"/>
    <col min="5640" max="5640" width="12.875" style="12" bestFit="1" customWidth="1"/>
    <col min="5641" max="5641" width="11.75" style="12" bestFit="1" customWidth="1"/>
    <col min="5642" max="5642" width="13" style="12" bestFit="1" customWidth="1"/>
    <col min="5643" max="5643" width="11.125" style="12" bestFit="1" customWidth="1"/>
    <col min="5644" max="5888" width="9" style="12"/>
    <col min="5889" max="5889" width="7.375" style="12" bestFit="1" customWidth="1"/>
    <col min="5890" max="5890" width="9.25" style="12" bestFit="1" customWidth="1"/>
    <col min="5891" max="5891" width="11.125" style="12" bestFit="1" customWidth="1"/>
    <col min="5892" max="5892" width="12.875" style="12" bestFit="1" customWidth="1"/>
    <col min="5893" max="5893" width="18" style="12" bestFit="1" customWidth="1"/>
    <col min="5894" max="5894" width="12.875" style="12" bestFit="1" customWidth="1"/>
    <col min="5895" max="5895" width="9.25" style="12" bestFit="1" customWidth="1"/>
    <col min="5896" max="5896" width="12.875" style="12" bestFit="1" customWidth="1"/>
    <col min="5897" max="5897" width="11.75" style="12" bestFit="1" customWidth="1"/>
    <col min="5898" max="5898" width="13" style="12" bestFit="1" customWidth="1"/>
    <col min="5899" max="5899" width="11.125" style="12" bestFit="1" customWidth="1"/>
    <col min="5900" max="6144" width="9" style="12"/>
    <col min="6145" max="6145" width="7.375" style="12" bestFit="1" customWidth="1"/>
    <col min="6146" max="6146" width="9.25" style="12" bestFit="1" customWidth="1"/>
    <col min="6147" max="6147" width="11.125" style="12" bestFit="1" customWidth="1"/>
    <col min="6148" max="6148" width="12.875" style="12" bestFit="1" customWidth="1"/>
    <col min="6149" max="6149" width="18" style="12" bestFit="1" customWidth="1"/>
    <col min="6150" max="6150" width="12.875" style="12" bestFit="1" customWidth="1"/>
    <col min="6151" max="6151" width="9.25" style="12" bestFit="1" customWidth="1"/>
    <col min="6152" max="6152" width="12.875" style="12" bestFit="1" customWidth="1"/>
    <col min="6153" max="6153" width="11.75" style="12" bestFit="1" customWidth="1"/>
    <col min="6154" max="6154" width="13" style="12" bestFit="1" customWidth="1"/>
    <col min="6155" max="6155" width="11.125" style="12" bestFit="1" customWidth="1"/>
    <col min="6156" max="6400" width="9" style="12"/>
    <col min="6401" max="6401" width="7.375" style="12" bestFit="1" customWidth="1"/>
    <col min="6402" max="6402" width="9.25" style="12" bestFit="1" customWidth="1"/>
    <col min="6403" max="6403" width="11.125" style="12" bestFit="1" customWidth="1"/>
    <col min="6404" max="6404" width="12.875" style="12" bestFit="1" customWidth="1"/>
    <col min="6405" max="6405" width="18" style="12" bestFit="1" customWidth="1"/>
    <col min="6406" max="6406" width="12.875" style="12" bestFit="1" customWidth="1"/>
    <col min="6407" max="6407" width="9.25" style="12" bestFit="1" customWidth="1"/>
    <col min="6408" max="6408" width="12.875" style="12" bestFit="1" customWidth="1"/>
    <col min="6409" max="6409" width="11.75" style="12" bestFit="1" customWidth="1"/>
    <col min="6410" max="6410" width="13" style="12" bestFit="1" customWidth="1"/>
    <col min="6411" max="6411" width="11.125" style="12" bestFit="1" customWidth="1"/>
    <col min="6412" max="6656" width="9" style="12"/>
    <col min="6657" max="6657" width="7.375" style="12" bestFit="1" customWidth="1"/>
    <col min="6658" max="6658" width="9.25" style="12" bestFit="1" customWidth="1"/>
    <col min="6659" max="6659" width="11.125" style="12" bestFit="1" customWidth="1"/>
    <col min="6660" max="6660" width="12.875" style="12" bestFit="1" customWidth="1"/>
    <col min="6661" max="6661" width="18" style="12" bestFit="1" customWidth="1"/>
    <col min="6662" max="6662" width="12.875" style="12" bestFit="1" customWidth="1"/>
    <col min="6663" max="6663" width="9.25" style="12" bestFit="1" customWidth="1"/>
    <col min="6664" max="6664" width="12.875" style="12" bestFit="1" customWidth="1"/>
    <col min="6665" max="6665" width="11.75" style="12" bestFit="1" customWidth="1"/>
    <col min="6666" max="6666" width="13" style="12" bestFit="1" customWidth="1"/>
    <col min="6667" max="6667" width="11.125" style="12" bestFit="1" customWidth="1"/>
    <col min="6668" max="6912" width="9" style="12"/>
    <col min="6913" max="6913" width="7.375" style="12" bestFit="1" customWidth="1"/>
    <col min="6914" max="6914" width="9.25" style="12" bestFit="1" customWidth="1"/>
    <col min="6915" max="6915" width="11.125" style="12" bestFit="1" customWidth="1"/>
    <col min="6916" max="6916" width="12.875" style="12" bestFit="1" customWidth="1"/>
    <col min="6917" max="6917" width="18" style="12" bestFit="1" customWidth="1"/>
    <col min="6918" max="6918" width="12.875" style="12" bestFit="1" customWidth="1"/>
    <col min="6919" max="6919" width="9.25" style="12" bestFit="1" customWidth="1"/>
    <col min="6920" max="6920" width="12.875" style="12" bestFit="1" customWidth="1"/>
    <col min="6921" max="6921" width="11.75" style="12" bestFit="1" customWidth="1"/>
    <col min="6922" max="6922" width="13" style="12" bestFit="1" customWidth="1"/>
    <col min="6923" max="6923" width="11.125" style="12" bestFit="1" customWidth="1"/>
    <col min="6924" max="7168" width="9" style="12"/>
    <col min="7169" max="7169" width="7.375" style="12" bestFit="1" customWidth="1"/>
    <col min="7170" max="7170" width="9.25" style="12" bestFit="1" customWidth="1"/>
    <col min="7171" max="7171" width="11.125" style="12" bestFit="1" customWidth="1"/>
    <col min="7172" max="7172" width="12.875" style="12" bestFit="1" customWidth="1"/>
    <col min="7173" max="7173" width="18" style="12" bestFit="1" customWidth="1"/>
    <col min="7174" max="7174" width="12.875" style="12" bestFit="1" customWidth="1"/>
    <col min="7175" max="7175" width="9.25" style="12" bestFit="1" customWidth="1"/>
    <col min="7176" max="7176" width="12.875" style="12" bestFit="1" customWidth="1"/>
    <col min="7177" max="7177" width="11.75" style="12" bestFit="1" customWidth="1"/>
    <col min="7178" max="7178" width="13" style="12" bestFit="1" customWidth="1"/>
    <col min="7179" max="7179" width="11.125" style="12" bestFit="1" customWidth="1"/>
    <col min="7180" max="7424" width="9" style="12"/>
    <col min="7425" max="7425" width="7.375" style="12" bestFit="1" customWidth="1"/>
    <col min="7426" max="7426" width="9.25" style="12" bestFit="1" customWidth="1"/>
    <col min="7427" max="7427" width="11.125" style="12" bestFit="1" customWidth="1"/>
    <col min="7428" max="7428" width="12.875" style="12" bestFit="1" customWidth="1"/>
    <col min="7429" max="7429" width="18" style="12" bestFit="1" customWidth="1"/>
    <col min="7430" max="7430" width="12.875" style="12" bestFit="1" customWidth="1"/>
    <col min="7431" max="7431" width="9.25" style="12" bestFit="1" customWidth="1"/>
    <col min="7432" max="7432" width="12.875" style="12" bestFit="1" customWidth="1"/>
    <col min="7433" max="7433" width="11.75" style="12" bestFit="1" customWidth="1"/>
    <col min="7434" max="7434" width="13" style="12" bestFit="1" customWidth="1"/>
    <col min="7435" max="7435" width="11.125" style="12" bestFit="1" customWidth="1"/>
    <col min="7436" max="7680" width="9" style="12"/>
    <col min="7681" max="7681" width="7.375" style="12" bestFit="1" customWidth="1"/>
    <col min="7682" max="7682" width="9.25" style="12" bestFit="1" customWidth="1"/>
    <col min="7683" max="7683" width="11.125" style="12" bestFit="1" customWidth="1"/>
    <col min="7684" max="7684" width="12.875" style="12" bestFit="1" customWidth="1"/>
    <col min="7685" max="7685" width="18" style="12" bestFit="1" customWidth="1"/>
    <col min="7686" max="7686" width="12.875" style="12" bestFit="1" customWidth="1"/>
    <col min="7687" max="7687" width="9.25" style="12" bestFit="1" customWidth="1"/>
    <col min="7688" max="7688" width="12.875" style="12" bestFit="1" customWidth="1"/>
    <col min="7689" max="7689" width="11.75" style="12" bestFit="1" customWidth="1"/>
    <col min="7690" max="7690" width="13" style="12" bestFit="1" customWidth="1"/>
    <col min="7691" max="7691" width="11.125" style="12" bestFit="1" customWidth="1"/>
    <col min="7692" max="7936" width="9" style="12"/>
    <col min="7937" max="7937" width="7.375" style="12" bestFit="1" customWidth="1"/>
    <col min="7938" max="7938" width="9.25" style="12" bestFit="1" customWidth="1"/>
    <col min="7939" max="7939" width="11.125" style="12" bestFit="1" customWidth="1"/>
    <col min="7940" max="7940" width="12.875" style="12" bestFit="1" customWidth="1"/>
    <col min="7941" max="7941" width="18" style="12" bestFit="1" customWidth="1"/>
    <col min="7942" max="7942" width="12.875" style="12" bestFit="1" customWidth="1"/>
    <col min="7943" max="7943" width="9.25" style="12" bestFit="1" customWidth="1"/>
    <col min="7944" max="7944" width="12.875" style="12" bestFit="1" customWidth="1"/>
    <col min="7945" max="7945" width="11.75" style="12" bestFit="1" customWidth="1"/>
    <col min="7946" max="7946" width="13" style="12" bestFit="1" customWidth="1"/>
    <col min="7947" max="7947" width="11.125" style="12" bestFit="1" customWidth="1"/>
    <col min="7948" max="8192" width="9" style="12"/>
    <col min="8193" max="8193" width="7.375" style="12" bestFit="1" customWidth="1"/>
    <col min="8194" max="8194" width="9.25" style="12" bestFit="1" customWidth="1"/>
    <col min="8195" max="8195" width="11.125" style="12" bestFit="1" customWidth="1"/>
    <col min="8196" max="8196" width="12.875" style="12" bestFit="1" customWidth="1"/>
    <col min="8197" max="8197" width="18" style="12" bestFit="1" customWidth="1"/>
    <col min="8198" max="8198" width="12.875" style="12" bestFit="1" customWidth="1"/>
    <col min="8199" max="8199" width="9.25" style="12" bestFit="1" customWidth="1"/>
    <col min="8200" max="8200" width="12.875" style="12" bestFit="1" customWidth="1"/>
    <col min="8201" max="8201" width="11.75" style="12" bestFit="1" customWidth="1"/>
    <col min="8202" max="8202" width="13" style="12" bestFit="1" customWidth="1"/>
    <col min="8203" max="8203" width="11.125" style="12" bestFit="1" customWidth="1"/>
    <col min="8204" max="8448" width="9" style="12"/>
    <col min="8449" max="8449" width="7.375" style="12" bestFit="1" customWidth="1"/>
    <col min="8450" max="8450" width="9.25" style="12" bestFit="1" customWidth="1"/>
    <col min="8451" max="8451" width="11.125" style="12" bestFit="1" customWidth="1"/>
    <col min="8452" max="8452" width="12.875" style="12" bestFit="1" customWidth="1"/>
    <col min="8453" max="8453" width="18" style="12" bestFit="1" customWidth="1"/>
    <col min="8454" max="8454" width="12.875" style="12" bestFit="1" customWidth="1"/>
    <col min="8455" max="8455" width="9.25" style="12" bestFit="1" customWidth="1"/>
    <col min="8456" max="8456" width="12.875" style="12" bestFit="1" customWidth="1"/>
    <col min="8457" max="8457" width="11.75" style="12" bestFit="1" customWidth="1"/>
    <col min="8458" max="8458" width="13" style="12" bestFit="1" customWidth="1"/>
    <col min="8459" max="8459" width="11.125" style="12" bestFit="1" customWidth="1"/>
    <col min="8460" max="8704" width="9" style="12"/>
    <col min="8705" max="8705" width="7.375" style="12" bestFit="1" customWidth="1"/>
    <col min="8706" max="8706" width="9.25" style="12" bestFit="1" customWidth="1"/>
    <col min="8707" max="8707" width="11.125" style="12" bestFit="1" customWidth="1"/>
    <col min="8708" max="8708" width="12.875" style="12" bestFit="1" customWidth="1"/>
    <col min="8709" max="8709" width="18" style="12" bestFit="1" customWidth="1"/>
    <col min="8710" max="8710" width="12.875" style="12" bestFit="1" customWidth="1"/>
    <col min="8711" max="8711" width="9.25" style="12" bestFit="1" customWidth="1"/>
    <col min="8712" max="8712" width="12.875" style="12" bestFit="1" customWidth="1"/>
    <col min="8713" max="8713" width="11.75" style="12" bestFit="1" customWidth="1"/>
    <col min="8714" max="8714" width="13" style="12" bestFit="1" customWidth="1"/>
    <col min="8715" max="8715" width="11.125" style="12" bestFit="1" customWidth="1"/>
    <col min="8716" max="8960" width="9" style="12"/>
    <col min="8961" max="8961" width="7.375" style="12" bestFit="1" customWidth="1"/>
    <col min="8962" max="8962" width="9.25" style="12" bestFit="1" customWidth="1"/>
    <col min="8963" max="8963" width="11.125" style="12" bestFit="1" customWidth="1"/>
    <col min="8964" max="8964" width="12.875" style="12" bestFit="1" customWidth="1"/>
    <col min="8965" max="8965" width="18" style="12" bestFit="1" customWidth="1"/>
    <col min="8966" max="8966" width="12.875" style="12" bestFit="1" customWidth="1"/>
    <col min="8967" max="8967" width="9.25" style="12" bestFit="1" customWidth="1"/>
    <col min="8968" max="8968" width="12.875" style="12" bestFit="1" customWidth="1"/>
    <col min="8969" max="8969" width="11.75" style="12" bestFit="1" customWidth="1"/>
    <col min="8970" max="8970" width="13" style="12" bestFit="1" customWidth="1"/>
    <col min="8971" max="8971" width="11.125" style="12" bestFit="1" customWidth="1"/>
    <col min="8972" max="9216" width="9" style="12"/>
    <col min="9217" max="9217" width="7.375" style="12" bestFit="1" customWidth="1"/>
    <col min="9218" max="9218" width="9.25" style="12" bestFit="1" customWidth="1"/>
    <col min="9219" max="9219" width="11.125" style="12" bestFit="1" customWidth="1"/>
    <col min="9220" max="9220" width="12.875" style="12" bestFit="1" customWidth="1"/>
    <col min="9221" max="9221" width="18" style="12" bestFit="1" customWidth="1"/>
    <col min="9222" max="9222" width="12.875" style="12" bestFit="1" customWidth="1"/>
    <col min="9223" max="9223" width="9.25" style="12" bestFit="1" customWidth="1"/>
    <col min="9224" max="9224" width="12.875" style="12" bestFit="1" customWidth="1"/>
    <col min="9225" max="9225" width="11.75" style="12" bestFit="1" customWidth="1"/>
    <col min="9226" max="9226" width="13" style="12" bestFit="1" customWidth="1"/>
    <col min="9227" max="9227" width="11.125" style="12" bestFit="1" customWidth="1"/>
    <col min="9228" max="9472" width="9" style="12"/>
    <col min="9473" max="9473" width="7.375" style="12" bestFit="1" customWidth="1"/>
    <col min="9474" max="9474" width="9.25" style="12" bestFit="1" customWidth="1"/>
    <col min="9475" max="9475" width="11.125" style="12" bestFit="1" customWidth="1"/>
    <col min="9476" max="9476" width="12.875" style="12" bestFit="1" customWidth="1"/>
    <col min="9477" max="9477" width="18" style="12" bestFit="1" customWidth="1"/>
    <col min="9478" max="9478" width="12.875" style="12" bestFit="1" customWidth="1"/>
    <col min="9479" max="9479" width="9.25" style="12" bestFit="1" customWidth="1"/>
    <col min="9480" max="9480" width="12.875" style="12" bestFit="1" customWidth="1"/>
    <col min="9481" max="9481" width="11.75" style="12" bestFit="1" customWidth="1"/>
    <col min="9482" max="9482" width="13" style="12" bestFit="1" customWidth="1"/>
    <col min="9483" max="9483" width="11.125" style="12" bestFit="1" customWidth="1"/>
    <col min="9484" max="9728" width="9" style="12"/>
    <col min="9729" max="9729" width="7.375" style="12" bestFit="1" customWidth="1"/>
    <col min="9730" max="9730" width="9.25" style="12" bestFit="1" customWidth="1"/>
    <col min="9731" max="9731" width="11.125" style="12" bestFit="1" customWidth="1"/>
    <col min="9732" max="9732" width="12.875" style="12" bestFit="1" customWidth="1"/>
    <col min="9733" max="9733" width="18" style="12" bestFit="1" customWidth="1"/>
    <col min="9734" max="9734" width="12.875" style="12" bestFit="1" customWidth="1"/>
    <col min="9735" max="9735" width="9.25" style="12" bestFit="1" customWidth="1"/>
    <col min="9736" max="9736" width="12.875" style="12" bestFit="1" customWidth="1"/>
    <col min="9737" max="9737" width="11.75" style="12" bestFit="1" customWidth="1"/>
    <col min="9738" max="9738" width="13" style="12" bestFit="1" customWidth="1"/>
    <col min="9739" max="9739" width="11.125" style="12" bestFit="1" customWidth="1"/>
    <col min="9740" max="9984" width="9" style="12"/>
    <col min="9985" max="9985" width="7.375" style="12" bestFit="1" customWidth="1"/>
    <col min="9986" max="9986" width="9.25" style="12" bestFit="1" customWidth="1"/>
    <col min="9987" max="9987" width="11.125" style="12" bestFit="1" customWidth="1"/>
    <col min="9988" max="9988" width="12.875" style="12" bestFit="1" customWidth="1"/>
    <col min="9989" max="9989" width="18" style="12" bestFit="1" customWidth="1"/>
    <col min="9990" max="9990" width="12.875" style="12" bestFit="1" customWidth="1"/>
    <col min="9991" max="9991" width="9.25" style="12" bestFit="1" customWidth="1"/>
    <col min="9992" max="9992" width="12.875" style="12" bestFit="1" customWidth="1"/>
    <col min="9993" max="9993" width="11.75" style="12" bestFit="1" customWidth="1"/>
    <col min="9994" max="9994" width="13" style="12" bestFit="1" customWidth="1"/>
    <col min="9995" max="9995" width="11.125" style="12" bestFit="1" customWidth="1"/>
    <col min="9996" max="10240" width="9" style="12"/>
    <col min="10241" max="10241" width="7.375" style="12" bestFit="1" customWidth="1"/>
    <col min="10242" max="10242" width="9.25" style="12" bestFit="1" customWidth="1"/>
    <col min="10243" max="10243" width="11.125" style="12" bestFit="1" customWidth="1"/>
    <col min="10244" max="10244" width="12.875" style="12" bestFit="1" customWidth="1"/>
    <col min="10245" max="10245" width="18" style="12" bestFit="1" customWidth="1"/>
    <col min="10246" max="10246" width="12.875" style="12" bestFit="1" customWidth="1"/>
    <col min="10247" max="10247" width="9.25" style="12" bestFit="1" customWidth="1"/>
    <col min="10248" max="10248" width="12.875" style="12" bestFit="1" customWidth="1"/>
    <col min="10249" max="10249" width="11.75" style="12" bestFit="1" customWidth="1"/>
    <col min="10250" max="10250" width="13" style="12" bestFit="1" customWidth="1"/>
    <col min="10251" max="10251" width="11.125" style="12" bestFit="1" customWidth="1"/>
    <col min="10252" max="10496" width="9" style="12"/>
    <col min="10497" max="10497" width="7.375" style="12" bestFit="1" customWidth="1"/>
    <col min="10498" max="10498" width="9.25" style="12" bestFit="1" customWidth="1"/>
    <col min="10499" max="10499" width="11.125" style="12" bestFit="1" customWidth="1"/>
    <col min="10500" max="10500" width="12.875" style="12" bestFit="1" customWidth="1"/>
    <col min="10501" max="10501" width="18" style="12" bestFit="1" customWidth="1"/>
    <col min="10502" max="10502" width="12.875" style="12" bestFit="1" customWidth="1"/>
    <col min="10503" max="10503" width="9.25" style="12" bestFit="1" customWidth="1"/>
    <col min="10504" max="10504" width="12.875" style="12" bestFit="1" customWidth="1"/>
    <col min="10505" max="10505" width="11.75" style="12" bestFit="1" customWidth="1"/>
    <col min="10506" max="10506" width="13" style="12" bestFit="1" customWidth="1"/>
    <col min="10507" max="10507" width="11.125" style="12" bestFit="1" customWidth="1"/>
    <col min="10508" max="10752" width="9" style="12"/>
    <col min="10753" max="10753" width="7.375" style="12" bestFit="1" customWidth="1"/>
    <col min="10754" max="10754" width="9.25" style="12" bestFit="1" customWidth="1"/>
    <col min="10755" max="10755" width="11.125" style="12" bestFit="1" customWidth="1"/>
    <col min="10756" max="10756" width="12.875" style="12" bestFit="1" customWidth="1"/>
    <col min="10757" max="10757" width="18" style="12" bestFit="1" customWidth="1"/>
    <col min="10758" max="10758" width="12.875" style="12" bestFit="1" customWidth="1"/>
    <col min="10759" max="10759" width="9.25" style="12" bestFit="1" customWidth="1"/>
    <col min="10760" max="10760" width="12.875" style="12" bestFit="1" customWidth="1"/>
    <col min="10761" max="10761" width="11.75" style="12" bestFit="1" customWidth="1"/>
    <col min="10762" max="10762" width="13" style="12" bestFit="1" customWidth="1"/>
    <col min="10763" max="10763" width="11.125" style="12" bestFit="1" customWidth="1"/>
    <col min="10764" max="11008" width="9" style="12"/>
    <col min="11009" max="11009" width="7.375" style="12" bestFit="1" customWidth="1"/>
    <col min="11010" max="11010" width="9.25" style="12" bestFit="1" customWidth="1"/>
    <col min="11011" max="11011" width="11.125" style="12" bestFit="1" customWidth="1"/>
    <col min="11012" max="11012" width="12.875" style="12" bestFit="1" customWidth="1"/>
    <col min="11013" max="11013" width="18" style="12" bestFit="1" customWidth="1"/>
    <col min="11014" max="11014" width="12.875" style="12" bestFit="1" customWidth="1"/>
    <col min="11015" max="11015" width="9.25" style="12" bestFit="1" customWidth="1"/>
    <col min="11016" max="11016" width="12.875" style="12" bestFit="1" customWidth="1"/>
    <col min="11017" max="11017" width="11.75" style="12" bestFit="1" customWidth="1"/>
    <col min="11018" max="11018" width="13" style="12" bestFit="1" customWidth="1"/>
    <col min="11019" max="11019" width="11.125" style="12" bestFit="1" customWidth="1"/>
    <col min="11020" max="11264" width="9" style="12"/>
    <col min="11265" max="11265" width="7.375" style="12" bestFit="1" customWidth="1"/>
    <col min="11266" max="11266" width="9.25" style="12" bestFit="1" customWidth="1"/>
    <col min="11267" max="11267" width="11.125" style="12" bestFit="1" customWidth="1"/>
    <col min="11268" max="11268" width="12.875" style="12" bestFit="1" customWidth="1"/>
    <col min="11269" max="11269" width="18" style="12" bestFit="1" customWidth="1"/>
    <col min="11270" max="11270" width="12.875" style="12" bestFit="1" customWidth="1"/>
    <col min="11271" max="11271" width="9.25" style="12" bestFit="1" customWidth="1"/>
    <col min="11272" max="11272" width="12.875" style="12" bestFit="1" customWidth="1"/>
    <col min="11273" max="11273" width="11.75" style="12" bestFit="1" customWidth="1"/>
    <col min="11274" max="11274" width="13" style="12" bestFit="1" customWidth="1"/>
    <col min="11275" max="11275" width="11.125" style="12" bestFit="1" customWidth="1"/>
    <col min="11276" max="11520" width="9" style="12"/>
    <col min="11521" max="11521" width="7.375" style="12" bestFit="1" customWidth="1"/>
    <col min="11522" max="11522" width="9.25" style="12" bestFit="1" customWidth="1"/>
    <col min="11523" max="11523" width="11.125" style="12" bestFit="1" customWidth="1"/>
    <col min="11524" max="11524" width="12.875" style="12" bestFit="1" customWidth="1"/>
    <col min="11525" max="11525" width="18" style="12" bestFit="1" customWidth="1"/>
    <col min="11526" max="11526" width="12.875" style="12" bestFit="1" customWidth="1"/>
    <col min="11527" max="11527" width="9.25" style="12" bestFit="1" customWidth="1"/>
    <col min="11528" max="11528" width="12.875" style="12" bestFit="1" customWidth="1"/>
    <col min="11529" max="11529" width="11.75" style="12" bestFit="1" customWidth="1"/>
    <col min="11530" max="11530" width="13" style="12" bestFit="1" customWidth="1"/>
    <col min="11531" max="11531" width="11.125" style="12" bestFit="1" customWidth="1"/>
    <col min="11532" max="11776" width="9" style="12"/>
    <col min="11777" max="11777" width="7.375" style="12" bestFit="1" customWidth="1"/>
    <col min="11778" max="11778" width="9.25" style="12" bestFit="1" customWidth="1"/>
    <col min="11779" max="11779" width="11.125" style="12" bestFit="1" customWidth="1"/>
    <col min="11780" max="11780" width="12.875" style="12" bestFit="1" customWidth="1"/>
    <col min="11781" max="11781" width="18" style="12" bestFit="1" customWidth="1"/>
    <col min="11782" max="11782" width="12.875" style="12" bestFit="1" customWidth="1"/>
    <col min="11783" max="11783" width="9.25" style="12" bestFit="1" customWidth="1"/>
    <col min="11784" max="11784" width="12.875" style="12" bestFit="1" customWidth="1"/>
    <col min="11785" max="11785" width="11.75" style="12" bestFit="1" customWidth="1"/>
    <col min="11786" max="11786" width="13" style="12" bestFit="1" customWidth="1"/>
    <col min="11787" max="11787" width="11.125" style="12" bestFit="1" customWidth="1"/>
    <col min="11788" max="12032" width="9" style="12"/>
    <col min="12033" max="12033" width="7.375" style="12" bestFit="1" customWidth="1"/>
    <col min="12034" max="12034" width="9.25" style="12" bestFit="1" customWidth="1"/>
    <col min="12035" max="12035" width="11.125" style="12" bestFit="1" customWidth="1"/>
    <col min="12036" max="12036" width="12.875" style="12" bestFit="1" customWidth="1"/>
    <col min="12037" max="12037" width="18" style="12" bestFit="1" customWidth="1"/>
    <col min="12038" max="12038" width="12.875" style="12" bestFit="1" customWidth="1"/>
    <col min="12039" max="12039" width="9.25" style="12" bestFit="1" customWidth="1"/>
    <col min="12040" max="12040" width="12.875" style="12" bestFit="1" customWidth="1"/>
    <col min="12041" max="12041" width="11.75" style="12" bestFit="1" customWidth="1"/>
    <col min="12042" max="12042" width="13" style="12" bestFit="1" customWidth="1"/>
    <col min="12043" max="12043" width="11.125" style="12" bestFit="1" customWidth="1"/>
    <col min="12044" max="12288" width="9" style="12"/>
    <col min="12289" max="12289" width="7.375" style="12" bestFit="1" customWidth="1"/>
    <col min="12290" max="12290" width="9.25" style="12" bestFit="1" customWidth="1"/>
    <col min="12291" max="12291" width="11.125" style="12" bestFit="1" customWidth="1"/>
    <col min="12292" max="12292" width="12.875" style="12" bestFit="1" customWidth="1"/>
    <col min="12293" max="12293" width="18" style="12" bestFit="1" customWidth="1"/>
    <col min="12294" max="12294" width="12.875" style="12" bestFit="1" customWidth="1"/>
    <col min="12295" max="12295" width="9.25" style="12" bestFit="1" customWidth="1"/>
    <col min="12296" max="12296" width="12.875" style="12" bestFit="1" customWidth="1"/>
    <col min="12297" max="12297" width="11.75" style="12" bestFit="1" customWidth="1"/>
    <col min="12298" max="12298" width="13" style="12" bestFit="1" customWidth="1"/>
    <col min="12299" max="12299" width="11.125" style="12" bestFit="1" customWidth="1"/>
    <col min="12300" max="12544" width="9" style="12"/>
    <col min="12545" max="12545" width="7.375" style="12" bestFit="1" customWidth="1"/>
    <col min="12546" max="12546" width="9.25" style="12" bestFit="1" customWidth="1"/>
    <col min="12547" max="12547" width="11.125" style="12" bestFit="1" customWidth="1"/>
    <col min="12548" max="12548" width="12.875" style="12" bestFit="1" customWidth="1"/>
    <col min="12549" max="12549" width="18" style="12" bestFit="1" customWidth="1"/>
    <col min="12550" max="12550" width="12.875" style="12" bestFit="1" customWidth="1"/>
    <col min="12551" max="12551" width="9.25" style="12" bestFit="1" customWidth="1"/>
    <col min="12552" max="12552" width="12.875" style="12" bestFit="1" customWidth="1"/>
    <col min="12553" max="12553" width="11.75" style="12" bestFit="1" customWidth="1"/>
    <col min="12554" max="12554" width="13" style="12" bestFit="1" customWidth="1"/>
    <col min="12555" max="12555" width="11.125" style="12" bestFit="1" customWidth="1"/>
    <col min="12556" max="12800" width="9" style="12"/>
    <col min="12801" max="12801" width="7.375" style="12" bestFit="1" customWidth="1"/>
    <col min="12802" max="12802" width="9.25" style="12" bestFit="1" customWidth="1"/>
    <col min="12803" max="12803" width="11.125" style="12" bestFit="1" customWidth="1"/>
    <col min="12804" max="12804" width="12.875" style="12" bestFit="1" customWidth="1"/>
    <col min="12805" max="12805" width="18" style="12" bestFit="1" customWidth="1"/>
    <col min="12806" max="12806" width="12.875" style="12" bestFit="1" customWidth="1"/>
    <col min="12807" max="12807" width="9.25" style="12" bestFit="1" customWidth="1"/>
    <col min="12808" max="12808" width="12.875" style="12" bestFit="1" customWidth="1"/>
    <col min="12809" max="12809" width="11.75" style="12" bestFit="1" customWidth="1"/>
    <col min="12810" max="12810" width="13" style="12" bestFit="1" customWidth="1"/>
    <col min="12811" max="12811" width="11.125" style="12" bestFit="1" customWidth="1"/>
    <col min="12812" max="13056" width="9" style="12"/>
    <col min="13057" max="13057" width="7.375" style="12" bestFit="1" customWidth="1"/>
    <col min="13058" max="13058" width="9.25" style="12" bestFit="1" customWidth="1"/>
    <col min="13059" max="13059" width="11.125" style="12" bestFit="1" customWidth="1"/>
    <col min="13060" max="13060" width="12.875" style="12" bestFit="1" customWidth="1"/>
    <col min="13061" max="13061" width="18" style="12" bestFit="1" customWidth="1"/>
    <col min="13062" max="13062" width="12.875" style="12" bestFit="1" customWidth="1"/>
    <col min="13063" max="13063" width="9.25" style="12" bestFit="1" customWidth="1"/>
    <col min="13064" max="13064" width="12.875" style="12" bestFit="1" customWidth="1"/>
    <col min="13065" max="13065" width="11.75" style="12" bestFit="1" customWidth="1"/>
    <col min="13066" max="13066" width="13" style="12" bestFit="1" customWidth="1"/>
    <col min="13067" max="13067" width="11.125" style="12" bestFit="1" customWidth="1"/>
    <col min="13068" max="13312" width="9" style="12"/>
    <col min="13313" max="13313" width="7.375" style="12" bestFit="1" customWidth="1"/>
    <col min="13314" max="13314" width="9.25" style="12" bestFit="1" customWidth="1"/>
    <col min="13315" max="13315" width="11.125" style="12" bestFit="1" customWidth="1"/>
    <col min="13316" max="13316" width="12.875" style="12" bestFit="1" customWidth="1"/>
    <col min="13317" max="13317" width="18" style="12" bestFit="1" customWidth="1"/>
    <col min="13318" max="13318" width="12.875" style="12" bestFit="1" customWidth="1"/>
    <col min="13319" max="13319" width="9.25" style="12" bestFit="1" customWidth="1"/>
    <col min="13320" max="13320" width="12.875" style="12" bestFit="1" customWidth="1"/>
    <col min="13321" max="13321" width="11.75" style="12" bestFit="1" customWidth="1"/>
    <col min="13322" max="13322" width="13" style="12" bestFit="1" customWidth="1"/>
    <col min="13323" max="13323" width="11.125" style="12" bestFit="1" customWidth="1"/>
    <col min="13324" max="13568" width="9" style="12"/>
    <col min="13569" max="13569" width="7.375" style="12" bestFit="1" customWidth="1"/>
    <col min="13570" max="13570" width="9.25" style="12" bestFit="1" customWidth="1"/>
    <col min="13571" max="13571" width="11.125" style="12" bestFit="1" customWidth="1"/>
    <col min="13572" max="13572" width="12.875" style="12" bestFit="1" customWidth="1"/>
    <col min="13573" max="13573" width="18" style="12" bestFit="1" customWidth="1"/>
    <col min="13574" max="13574" width="12.875" style="12" bestFit="1" customWidth="1"/>
    <col min="13575" max="13575" width="9.25" style="12" bestFit="1" customWidth="1"/>
    <col min="13576" max="13576" width="12.875" style="12" bestFit="1" customWidth="1"/>
    <col min="13577" max="13577" width="11.75" style="12" bestFit="1" customWidth="1"/>
    <col min="13578" max="13578" width="13" style="12" bestFit="1" customWidth="1"/>
    <col min="13579" max="13579" width="11.125" style="12" bestFit="1" customWidth="1"/>
    <col min="13580" max="13824" width="9" style="12"/>
    <col min="13825" max="13825" width="7.375" style="12" bestFit="1" customWidth="1"/>
    <col min="13826" max="13826" width="9.25" style="12" bestFit="1" customWidth="1"/>
    <col min="13827" max="13827" width="11.125" style="12" bestFit="1" customWidth="1"/>
    <col min="13828" max="13828" width="12.875" style="12" bestFit="1" customWidth="1"/>
    <col min="13829" max="13829" width="18" style="12" bestFit="1" customWidth="1"/>
    <col min="13830" max="13830" width="12.875" style="12" bestFit="1" customWidth="1"/>
    <col min="13831" max="13831" width="9.25" style="12" bestFit="1" customWidth="1"/>
    <col min="13832" max="13832" width="12.875" style="12" bestFit="1" customWidth="1"/>
    <col min="13833" max="13833" width="11.75" style="12" bestFit="1" customWidth="1"/>
    <col min="13834" max="13834" width="13" style="12" bestFit="1" customWidth="1"/>
    <col min="13835" max="13835" width="11.125" style="12" bestFit="1" customWidth="1"/>
    <col min="13836" max="14080" width="9" style="12"/>
    <col min="14081" max="14081" width="7.375" style="12" bestFit="1" customWidth="1"/>
    <col min="14082" max="14082" width="9.25" style="12" bestFit="1" customWidth="1"/>
    <col min="14083" max="14083" width="11.125" style="12" bestFit="1" customWidth="1"/>
    <col min="14084" max="14084" width="12.875" style="12" bestFit="1" customWidth="1"/>
    <col min="14085" max="14085" width="18" style="12" bestFit="1" customWidth="1"/>
    <col min="14086" max="14086" width="12.875" style="12" bestFit="1" customWidth="1"/>
    <col min="14087" max="14087" width="9.25" style="12" bestFit="1" customWidth="1"/>
    <col min="14088" max="14088" width="12.875" style="12" bestFit="1" customWidth="1"/>
    <col min="14089" max="14089" width="11.75" style="12" bestFit="1" customWidth="1"/>
    <col min="14090" max="14090" width="13" style="12" bestFit="1" customWidth="1"/>
    <col min="14091" max="14091" width="11.125" style="12" bestFit="1" customWidth="1"/>
    <col min="14092" max="14336" width="9" style="12"/>
    <col min="14337" max="14337" width="7.375" style="12" bestFit="1" customWidth="1"/>
    <col min="14338" max="14338" width="9.25" style="12" bestFit="1" customWidth="1"/>
    <col min="14339" max="14339" width="11.125" style="12" bestFit="1" customWidth="1"/>
    <col min="14340" max="14340" width="12.875" style="12" bestFit="1" customWidth="1"/>
    <col min="14341" max="14341" width="18" style="12" bestFit="1" customWidth="1"/>
    <col min="14342" max="14342" width="12.875" style="12" bestFit="1" customWidth="1"/>
    <col min="14343" max="14343" width="9.25" style="12" bestFit="1" customWidth="1"/>
    <col min="14344" max="14344" width="12.875" style="12" bestFit="1" customWidth="1"/>
    <col min="14345" max="14345" width="11.75" style="12" bestFit="1" customWidth="1"/>
    <col min="14346" max="14346" width="13" style="12" bestFit="1" customWidth="1"/>
    <col min="14347" max="14347" width="11.125" style="12" bestFit="1" customWidth="1"/>
    <col min="14348" max="14592" width="9" style="12"/>
    <col min="14593" max="14593" width="7.375" style="12" bestFit="1" customWidth="1"/>
    <col min="14594" max="14594" width="9.25" style="12" bestFit="1" customWidth="1"/>
    <col min="14595" max="14595" width="11.125" style="12" bestFit="1" customWidth="1"/>
    <col min="14596" max="14596" width="12.875" style="12" bestFit="1" customWidth="1"/>
    <col min="14597" max="14597" width="18" style="12" bestFit="1" customWidth="1"/>
    <col min="14598" max="14598" width="12.875" style="12" bestFit="1" customWidth="1"/>
    <col min="14599" max="14599" width="9.25" style="12" bestFit="1" customWidth="1"/>
    <col min="14600" max="14600" width="12.875" style="12" bestFit="1" customWidth="1"/>
    <col min="14601" max="14601" width="11.75" style="12" bestFit="1" customWidth="1"/>
    <col min="14602" max="14602" width="13" style="12" bestFit="1" customWidth="1"/>
    <col min="14603" max="14603" width="11.125" style="12" bestFit="1" customWidth="1"/>
    <col min="14604" max="14848" width="9" style="12"/>
    <col min="14849" max="14849" width="7.375" style="12" bestFit="1" customWidth="1"/>
    <col min="14850" max="14850" width="9.25" style="12" bestFit="1" customWidth="1"/>
    <col min="14851" max="14851" width="11.125" style="12" bestFit="1" customWidth="1"/>
    <col min="14852" max="14852" width="12.875" style="12" bestFit="1" customWidth="1"/>
    <col min="14853" max="14853" width="18" style="12" bestFit="1" customWidth="1"/>
    <col min="14854" max="14854" width="12.875" style="12" bestFit="1" customWidth="1"/>
    <col min="14855" max="14855" width="9.25" style="12" bestFit="1" customWidth="1"/>
    <col min="14856" max="14856" width="12.875" style="12" bestFit="1" customWidth="1"/>
    <col min="14857" max="14857" width="11.75" style="12" bestFit="1" customWidth="1"/>
    <col min="14858" max="14858" width="13" style="12" bestFit="1" customWidth="1"/>
    <col min="14859" max="14859" width="11.125" style="12" bestFit="1" customWidth="1"/>
    <col min="14860" max="15104" width="9" style="12"/>
    <col min="15105" max="15105" width="7.375" style="12" bestFit="1" customWidth="1"/>
    <col min="15106" max="15106" width="9.25" style="12" bestFit="1" customWidth="1"/>
    <col min="15107" max="15107" width="11.125" style="12" bestFit="1" customWidth="1"/>
    <col min="15108" max="15108" width="12.875" style="12" bestFit="1" customWidth="1"/>
    <col min="15109" max="15109" width="18" style="12" bestFit="1" customWidth="1"/>
    <col min="15110" max="15110" width="12.875" style="12" bestFit="1" customWidth="1"/>
    <col min="15111" max="15111" width="9.25" style="12" bestFit="1" customWidth="1"/>
    <col min="15112" max="15112" width="12.875" style="12" bestFit="1" customWidth="1"/>
    <col min="15113" max="15113" width="11.75" style="12" bestFit="1" customWidth="1"/>
    <col min="15114" max="15114" width="13" style="12" bestFit="1" customWidth="1"/>
    <col min="15115" max="15115" width="11.125" style="12" bestFit="1" customWidth="1"/>
    <col min="15116" max="15360" width="9" style="12"/>
    <col min="15361" max="15361" width="7.375" style="12" bestFit="1" customWidth="1"/>
    <col min="15362" max="15362" width="9.25" style="12" bestFit="1" customWidth="1"/>
    <col min="15363" max="15363" width="11.125" style="12" bestFit="1" customWidth="1"/>
    <col min="15364" max="15364" width="12.875" style="12" bestFit="1" customWidth="1"/>
    <col min="15365" max="15365" width="18" style="12" bestFit="1" customWidth="1"/>
    <col min="15366" max="15366" width="12.875" style="12" bestFit="1" customWidth="1"/>
    <col min="15367" max="15367" width="9.25" style="12" bestFit="1" customWidth="1"/>
    <col min="15368" max="15368" width="12.875" style="12" bestFit="1" customWidth="1"/>
    <col min="15369" max="15369" width="11.75" style="12" bestFit="1" customWidth="1"/>
    <col min="15370" max="15370" width="13" style="12" bestFit="1" customWidth="1"/>
    <col min="15371" max="15371" width="11.125" style="12" bestFit="1" customWidth="1"/>
    <col min="15372" max="15616" width="9" style="12"/>
    <col min="15617" max="15617" width="7.375" style="12" bestFit="1" customWidth="1"/>
    <col min="15618" max="15618" width="9.25" style="12" bestFit="1" customWidth="1"/>
    <col min="15619" max="15619" width="11.125" style="12" bestFit="1" customWidth="1"/>
    <col min="15620" max="15620" width="12.875" style="12" bestFit="1" customWidth="1"/>
    <col min="15621" max="15621" width="18" style="12" bestFit="1" customWidth="1"/>
    <col min="15622" max="15622" width="12.875" style="12" bestFit="1" customWidth="1"/>
    <col min="15623" max="15623" width="9.25" style="12" bestFit="1" customWidth="1"/>
    <col min="15624" max="15624" width="12.875" style="12" bestFit="1" customWidth="1"/>
    <col min="15625" max="15625" width="11.75" style="12" bestFit="1" customWidth="1"/>
    <col min="15626" max="15626" width="13" style="12" bestFit="1" customWidth="1"/>
    <col min="15627" max="15627" width="11.125" style="12" bestFit="1" customWidth="1"/>
    <col min="15628" max="15872" width="9" style="12"/>
    <col min="15873" max="15873" width="7.375" style="12" bestFit="1" customWidth="1"/>
    <col min="15874" max="15874" width="9.25" style="12" bestFit="1" customWidth="1"/>
    <col min="15875" max="15875" width="11.125" style="12" bestFit="1" customWidth="1"/>
    <col min="15876" max="15876" width="12.875" style="12" bestFit="1" customWidth="1"/>
    <col min="15877" max="15877" width="18" style="12" bestFit="1" customWidth="1"/>
    <col min="15878" max="15878" width="12.875" style="12" bestFit="1" customWidth="1"/>
    <col min="15879" max="15879" width="9.25" style="12" bestFit="1" customWidth="1"/>
    <col min="15880" max="15880" width="12.875" style="12" bestFit="1" customWidth="1"/>
    <col min="15881" max="15881" width="11.75" style="12" bestFit="1" customWidth="1"/>
    <col min="15882" max="15882" width="13" style="12" bestFit="1" customWidth="1"/>
    <col min="15883" max="15883" width="11.125" style="12" bestFit="1" customWidth="1"/>
    <col min="15884" max="16128" width="9" style="12"/>
    <col min="16129" max="16129" width="7.375" style="12" bestFit="1" customWidth="1"/>
    <col min="16130" max="16130" width="9.25" style="12" bestFit="1" customWidth="1"/>
    <col min="16131" max="16131" width="11.125" style="12" bestFit="1" customWidth="1"/>
    <col min="16132" max="16132" width="12.875" style="12" bestFit="1" customWidth="1"/>
    <col min="16133" max="16133" width="18" style="12" bestFit="1" customWidth="1"/>
    <col min="16134" max="16134" width="12.875" style="12" bestFit="1" customWidth="1"/>
    <col min="16135" max="16135" width="9.25" style="12" bestFit="1" customWidth="1"/>
    <col min="16136" max="16136" width="12.875" style="12" bestFit="1" customWidth="1"/>
    <col min="16137" max="16137" width="11.75" style="12" bestFit="1" customWidth="1"/>
    <col min="16138" max="16138" width="13" style="12" bestFit="1" customWidth="1"/>
    <col min="16139" max="16139" width="11.125" style="12" bestFit="1" customWidth="1"/>
    <col min="16140" max="16384" width="9" style="12"/>
  </cols>
  <sheetData>
    <row r="1" spans="1:11">
      <c r="A1" s="12" t="s">
        <v>0</v>
      </c>
    </row>
    <row r="2" spans="1:11">
      <c r="A2" s="4" t="s">
        <v>1</v>
      </c>
      <c r="B2" s="4" t="s">
        <v>2</v>
      </c>
      <c r="C2" s="4" t="s">
        <v>3</v>
      </c>
      <c r="D2" s="4" t="s">
        <v>218</v>
      </c>
      <c r="E2" s="4" t="s">
        <v>125</v>
      </c>
      <c r="F2" s="4" t="s">
        <v>4</v>
      </c>
      <c r="G2" s="4" t="s">
        <v>5</v>
      </c>
      <c r="H2" s="4" t="s">
        <v>6</v>
      </c>
      <c r="I2" s="4" t="s">
        <v>126</v>
      </c>
      <c r="J2" s="4" t="s">
        <v>127</v>
      </c>
      <c r="K2" s="4" t="s">
        <v>128</v>
      </c>
    </row>
    <row r="3" spans="1:11">
      <c r="A3" s="6">
        <v>10001</v>
      </c>
      <c r="B3" s="4" t="s">
        <v>129</v>
      </c>
      <c r="C3" s="4" t="s">
        <v>130</v>
      </c>
      <c r="D3" s="4" t="s">
        <v>219</v>
      </c>
      <c r="E3" s="4" t="s">
        <v>131</v>
      </c>
      <c r="F3" s="5">
        <v>42740</v>
      </c>
      <c r="G3" s="6">
        <v>4</v>
      </c>
      <c r="H3" s="7">
        <f t="shared" ref="H3:H25" si="0">DATE(YEAR(F3),MONTH(F3)+G3,DAY(F3))</f>
        <v>42860</v>
      </c>
      <c r="I3" s="15">
        <v>5000</v>
      </c>
      <c r="J3" s="15">
        <v>10000</v>
      </c>
      <c r="K3" s="8">
        <f>J3*0.1</f>
        <v>1000</v>
      </c>
    </row>
    <row r="4" spans="1:11">
      <c r="A4" s="6">
        <v>10002</v>
      </c>
      <c r="B4" s="4" t="s">
        <v>144</v>
      </c>
      <c r="C4" s="4" t="s">
        <v>136</v>
      </c>
      <c r="D4" s="4" t="s">
        <v>7</v>
      </c>
      <c r="E4" s="4" t="s">
        <v>8</v>
      </c>
      <c r="F4" s="5">
        <v>42767</v>
      </c>
      <c r="G4" s="6">
        <v>3</v>
      </c>
      <c r="H4" s="7">
        <f t="shared" si="0"/>
        <v>42856</v>
      </c>
      <c r="I4" s="15">
        <v>10000</v>
      </c>
      <c r="J4" s="15">
        <v>40000</v>
      </c>
      <c r="K4" s="8">
        <f t="shared" ref="K4:K25" si="1">J4*0.1</f>
        <v>4000</v>
      </c>
    </row>
    <row r="5" spans="1:11">
      <c r="A5" s="6">
        <v>10003</v>
      </c>
      <c r="B5" s="4" t="s">
        <v>9</v>
      </c>
      <c r="C5" s="4" t="s">
        <v>130</v>
      </c>
      <c r="D5" s="4" t="s">
        <v>220</v>
      </c>
      <c r="E5" s="4" t="s">
        <v>135</v>
      </c>
      <c r="F5" s="5">
        <v>42792</v>
      </c>
      <c r="G5" s="6">
        <v>3</v>
      </c>
      <c r="H5" s="7">
        <f t="shared" si="0"/>
        <v>42881</v>
      </c>
      <c r="I5" s="15">
        <v>10000</v>
      </c>
      <c r="J5" s="15">
        <v>30000</v>
      </c>
      <c r="K5" s="8">
        <f t="shared" si="1"/>
        <v>3000</v>
      </c>
    </row>
    <row r="6" spans="1:11">
      <c r="A6" s="6">
        <v>20004</v>
      </c>
      <c r="B6" s="4" t="s">
        <v>10</v>
      </c>
      <c r="C6" s="4" t="s">
        <v>136</v>
      </c>
      <c r="D6" s="4" t="s">
        <v>220</v>
      </c>
      <c r="E6" s="4" t="s">
        <v>162</v>
      </c>
      <c r="F6" s="5">
        <v>42769</v>
      </c>
      <c r="G6" s="6">
        <v>5</v>
      </c>
      <c r="H6" s="7">
        <f t="shared" si="0"/>
        <v>42919</v>
      </c>
      <c r="I6" s="15">
        <v>35000</v>
      </c>
      <c r="J6" s="15">
        <v>175000</v>
      </c>
      <c r="K6" s="8">
        <f t="shared" si="1"/>
        <v>17500</v>
      </c>
    </row>
    <row r="7" spans="1:11">
      <c r="A7" s="6">
        <v>20005</v>
      </c>
      <c r="B7" s="4" t="s">
        <v>141</v>
      </c>
      <c r="C7" s="4" t="s">
        <v>136</v>
      </c>
      <c r="D7" s="4" t="s">
        <v>220</v>
      </c>
      <c r="E7" s="4" t="s">
        <v>11</v>
      </c>
      <c r="F7" s="5">
        <v>42803</v>
      </c>
      <c r="G7" s="6">
        <v>2</v>
      </c>
      <c r="H7" s="7">
        <f t="shared" si="0"/>
        <v>42864</v>
      </c>
      <c r="I7" s="15">
        <v>15000</v>
      </c>
      <c r="J7" s="15">
        <v>75000</v>
      </c>
      <c r="K7" s="8">
        <f t="shared" si="1"/>
        <v>7500</v>
      </c>
    </row>
    <row r="8" spans="1:11">
      <c r="A8" s="6">
        <v>30006</v>
      </c>
      <c r="B8" s="4" t="s">
        <v>147</v>
      </c>
      <c r="C8" s="4" t="s">
        <v>12</v>
      </c>
      <c r="D8" s="4" t="s">
        <v>219</v>
      </c>
      <c r="E8" s="4" t="s">
        <v>148</v>
      </c>
      <c r="F8" s="5">
        <v>42819</v>
      </c>
      <c r="G8" s="6">
        <v>6</v>
      </c>
      <c r="H8" s="7">
        <f t="shared" si="0"/>
        <v>43003</v>
      </c>
      <c r="I8" s="15">
        <v>10000</v>
      </c>
      <c r="J8" s="15">
        <v>60000</v>
      </c>
      <c r="K8" s="8">
        <f t="shared" si="1"/>
        <v>6000</v>
      </c>
    </row>
    <row r="9" spans="1:11">
      <c r="A9" s="6">
        <v>30007</v>
      </c>
      <c r="B9" s="4" t="s">
        <v>13</v>
      </c>
      <c r="C9" s="4" t="s">
        <v>12</v>
      </c>
      <c r="D9" s="4" t="s">
        <v>220</v>
      </c>
      <c r="E9" s="4" t="s">
        <v>14</v>
      </c>
      <c r="F9" s="5">
        <v>42826</v>
      </c>
      <c r="G9" s="6">
        <v>1</v>
      </c>
      <c r="H9" s="7">
        <f t="shared" si="0"/>
        <v>42856</v>
      </c>
      <c r="I9" s="15">
        <v>10000</v>
      </c>
      <c r="J9" s="15">
        <v>30000</v>
      </c>
      <c r="K9" s="8">
        <f t="shared" si="1"/>
        <v>3000</v>
      </c>
    </row>
    <row r="10" spans="1:11">
      <c r="A10" s="6">
        <v>40008</v>
      </c>
      <c r="B10" s="4" t="s">
        <v>15</v>
      </c>
      <c r="C10" s="4" t="s">
        <v>136</v>
      </c>
      <c r="D10" s="4" t="s">
        <v>7</v>
      </c>
      <c r="E10" s="4" t="s">
        <v>16</v>
      </c>
      <c r="F10" s="5">
        <v>42840</v>
      </c>
      <c r="G10" s="6">
        <v>4</v>
      </c>
      <c r="H10" s="7">
        <f t="shared" si="0"/>
        <v>42962</v>
      </c>
      <c r="I10" s="15">
        <v>10000</v>
      </c>
      <c r="J10" s="15">
        <v>40000</v>
      </c>
      <c r="K10" s="8">
        <f t="shared" si="1"/>
        <v>4000</v>
      </c>
    </row>
    <row r="11" spans="1:11">
      <c r="A11" s="6">
        <v>40009</v>
      </c>
      <c r="B11" s="4" t="s">
        <v>17</v>
      </c>
      <c r="C11" s="4" t="s">
        <v>130</v>
      </c>
      <c r="D11" s="4" t="s">
        <v>7</v>
      </c>
      <c r="E11" s="4" t="s">
        <v>155</v>
      </c>
      <c r="F11" s="5">
        <v>42845</v>
      </c>
      <c r="G11" s="6">
        <v>4</v>
      </c>
      <c r="H11" s="7">
        <f t="shared" si="0"/>
        <v>42967</v>
      </c>
      <c r="I11" s="15">
        <v>10000</v>
      </c>
      <c r="J11" s="15">
        <v>40000</v>
      </c>
      <c r="K11" s="8">
        <f t="shared" si="1"/>
        <v>4000</v>
      </c>
    </row>
    <row r="12" spans="1:11">
      <c r="A12" s="6">
        <v>40010</v>
      </c>
      <c r="B12" s="4" t="s">
        <v>18</v>
      </c>
      <c r="C12" s="4" t="s">
        <v>136</v>
      </c>
      <c r="D12" s="4" t="s">
        <v>219</v>
      </c>
      <c r="E12" s="4" t="s">
        <v>19</v>
      </c>
      <c r="F12" s="5">
        <v>42847</v>
      </c>
      <c r="G12" s="6">
        <v>1</v>
      </c>
      <c r="H12" s="7">
        <f t="shared" si="0"/>
        <v>42877</v>
      </c>
      <c r="I12" s="15">
        <v>10000</v>
      </c>
      <c r="J12" s="15">
        <v>40000</v>
      </c>
      <c r="K12" s="8">
        <f t="shared" si="1"/>
        <v>4000</v>
      </c>
    </row>
    <row r="13" spans="1:11">
      <c r="A13" s="6">
        <v>50011</v>
      </c>
      <c r="B13" s="4" t="s">
        <v>137</v>
      </c>
      <c r="C13" s="4" t="s">
        <v>130</v>
      </c>
      <c r="D13" s="4" t="s">
        <v>220</v>
      </c>
      <c r="E13" s="4" t="s">
        <v>138</v>
      </c>
      <c r="F13" s="5">
        <v>42855</v>
      </c>
      <c r="G13" s="6">
        <v>2</v>
      </c>
      <c r="H13" s="7">
        <f t="shared" si="0"/>
        <v>42916</v>
      </c>
      <c r="I13" s="15">
        <v>10000</v>
      </c>
      <c r="J13" s="15">
        <v>20000</v>
      </c>
      <c r="K13" s="8">
        <f t="shared" si="1"/>
        <v>2000</v>
      </c>
    </row>
    <row r="14" spans="1:11">
      <c r="A14" s="6">
        <v>50012</v>
      </c>
      <c r="B14" s="4" t="s">
        <v>145</v>
      </c>
      <c r="C14" s="4" t="s">
        <v>136</v>
      </c>
      <c r="D14" s="4" t="s">
        <v>220</v>
      </c>
      <c r="E14" s="4" t="s">
        <v>146</v>
      </c>
      <c r="F14" s="5">
        <v>42858</v>
      </c>
      <c r="G14" s="6">
        <v>3</v>
      </c>
      <c r="H14" s="7">
        <f t="shared" si="0"/>
        <v>42950</v>
      </c>
      <c r="I14" s="15">
        <v>15000</v>
      </c>
      <c r="J14" s="15">
        <v>45000</v>
      </c>
      <c r="K14" s="8">
        <f t="shared" si="1"/>
        <v>4500</v>
      </c>
    </row>
    <row r="15" spans="1:11">
      <c r="A15" s="6">
        <v>50013</v>
      </c>
      <c r="B15" s="4" t="s">
        <v>149</v>
      </c>
      <c r="C15" s="4" t="s">
        <v>12</v>
      </c>
      <c r="D15" s="4" t="s">
        <v>7</v>
      </c>
      <c r="E15" s="4" t="s">
        <v>150</v>
      </c>
      <c r="F15" s="5">
        <v>42861</v>
      </c>
      <c r="G15" s="6">
        <v>5</v>
      </c>
      <c r="H15" s="7">
        <f t="shared" si="0"/>
        <v>43014</v>
      </c>
      <c r="I15" s="15">
        <v>30000</v>
      </c>
      <c r="J15" s="15">
        <v>150000</v>
      </c>
      <c r="K15" s="8">
        <f t="shared" si="1"/>
        <v>15000</v>
      </c>
    </row>
    <row r="16" spans="1:11">
      <c r="A16" s="6">
        <v>10014</v>
      </c>
      <c r="B16" s="4" t="s">
        <v>20</v>
      </c>
      <c r="C16" s="4" t="s">
        <v>136</v>
      </c>
      <c r="D16" s="4" t="s">
        <v>219</v>
      </c>
      <c r="E16" s="4" t="s">
        <v>151</v>
      </c>
      <c r="F16" s="5">
        <v>42864</v>
      </c>
      <c r="G16" s="6">
        <v>3</v>
      </c>
      <c r="H16" s="7">
        <f t="shared" si="0"/>
        <v>42956</v>
      </c>
      <c r="I16" s="15">
        <v>30000</v>
      </c>
      <c r="J16" s="15">
        <v>90000</v>
      </c>
      <c r="K16" s="8">
        <f t="shared" si="1"/>
        <v>9000</v>
      </c>
    </row>
    <row r="17" spans="1:11">
      <c r="A17" s="6">
        <v>20015</v>
      </c>
      <c r="B17" s="4" t="s">
        <v>154</v>
      </c>
      <c r="C17" s="4" t="s">
        <v>130</v>
      </c>
      <c r="D17" s="4" t="s">
        <v>220</v>
      </c>
      <c r="E17" s="4" t="s">
        <v>21</v>
      </c>
      <c r="F17" s="5">
        <v>42869</v>
      </c>
      <c r="G17" s="6">
        <v>4</v>
      </c>
      <c r="H17" s="7">
        <f t="shared" si="0"/>
        <v>42992</v>
      </c>
      <c r="I17" s="15">
        <v>25000</v>
      </c>
      <c r="J17" s="15">
        <v>100000</v>
      </c>
      <c r="K17" s="8">
        <f t="shared" si="1"/>
        <v>10000</v>
      </c>
    </row>
    <row r="18" spans="1:11">
      <c r="A18" s="6">
        <v>20016</v>
      </c>
      <c r="B18" s="4" t="s">
        <v>158</v>
      </c>
      <c r="C18" s="4" t="s">
        <v>130</v>
      </c>
      <c r="D18" s="4" t="s">
        <v>7</v>
      </c>
      <c r="E18" s="4" t="s">
        <v>159</v>
      </c>
      <c r="F18" s="5">
        <v>42875</v>
      </c>
      <c r="G18" s="6">
        <v>3</v>
      </c>
      <c r="H18" s="7">
        <f t="shared" si="0"/>
        <v>42967</v>
      </c>
      <c r="I18" s="15">
        <v>15000</v>
      </c>
      <c r="J18" s="15">
        <v>45000</v>
      </c>
      <c r="K18" s="8">
        <f t="shared" si="1"/>
        <v>4500</v>
      </c>
    </row>
    <row r="19" spans="1:11">
      <c r="A19" s="6">
        <v>10017</v>
      </c>
      <c r="B19" s="4" t="s">
        <v>139</v>
      </c>
      <c r="C19" s="4" t="s">
        <v>136</v>
      </c>
      <c r="D19" s="4" t="s">
        <v>7</v>
      </c>
      <c r="E19" s="4" t="s">
        <v>140</v>
      </c>
      <c r="F19" s="5">
        <v>42771</v>
      </c>
      <c r="G19" s="6">
        <v>3</v>
      </c>
      <c r="H19" s="7">
        <f t="shared" si="0"/>
        <v>42860</v>
      </c>
      <c r="I19" s="15">
        <v>10000</v>
      </c>
      <c r="J19" s="15">
        <v>20000</v>
      </c>
      <c r="K19" s="8">
        <f t="shared" si="1"/>
        <v>2000</v>
      </c>
    </row>
    <row r="20" spans="1:11">
      <c r="A20" s="6">
        <v>10018</v>
      </c>
      <c r="B20" s="4" t="s">
        <v>142</v>
      </c>
      <c r="C20" s="4" t="s">
        <v>136</v>
      </c>
      <c r="D20" s="4" t="s">
        <v>7</v>
      </c>
      <c r="E20" s="4" t="s">
        <v>143</v>
      </c>
      <c r="F20" s="5">
        <v>42786</v>
      </c>
      <c r="G20" s="6">
        <v>3</v>
      </c>
      <c r="H20" s="7">
        <f t="shared" si="0"/>
        <v>42875</v>
      </c>
      <c r="I20" s="15">
        <v>15000</v>
      </c>
      <c r="J20" s="15">
        <v>45000</v>
      </c>
      <c r="K20" s="8">
        <f t="shared" si="1"/>
        <v>4500</v>
      </c>
    </row>
    <row r="21" spans="1:11">
      <c r="A21" s="6">
        <v>10019</v>
      </c>
      <c r="B21" s="4" t="s">
        <v>132</v>
      </c>
      <c r="C21" s="4" t="s">
        <v>130</v>
      </c>
      <c r="D21" s="4" t="s">
        <v>7</v>
      </c>
      <c r="E21" s="4" t="s">
        <v>133</v>
      </c>
      <c r="F21" s="5">
        <v>42787</v>
      </c>
      <c r="G21" s="6">
        <v>5</v>
      </c>
      <c r="H21" s="7">
        <f t="shared" si="0"/>
        <v>42937</v>
      </c>
      <c r="I21" s="15">
        <v>20000</v>
      </c>
      <c r="J21" s="15">
        <v>100000</v>
      </c>
      <c r="K21" s="8">
        <f t="shared" si="1"/>
        <v>10000</v>
      </c>
    </row>
    <row r="22" spans="1:11">
      <c r="A22" s="6">
        <v>20020</v>
      </c>
      <c r="B22" s="4" t="s">
        <v>156</v>
      </c>
      <c r="C22" s="4" t="s">
        <v>136</v>
      </c>
      <c r="D22" s="4" t="s">
        <v>220</v>
      </c>
      <c r="E22" s="4" t="s">
        <v>157</v>
      </c>
      <c r="F22" s="5">
        <v>42795</v>
      </c>
      <c r="G22" s="6">
        <v>5</v>
      </c>
      <c r="H22" s="7">
        <f t="shared" si="0"/>
        <v>42948</v>
      </c>
      <c r="I22" s="15">
        <v>15000</v>
      </c>
      <c r="J22" s="15">
        <v>75000</v>
      </c>
      <c r="K22" s="8">
        <f t="shared" si="1"/>
        <v>7500</v>
      </c>
    </row>
    <row r="23" spans="1:11">
      <c r="A23" s="6">
        <v>20021</v>
      </c>
      <c r="B23" s="4" t="s">
        <v>160</v>
      </c>
      <c r="C23" s="4" t="s">
        <v>130</v>
      </c>
      <c r="D23" s="4" t="s">
        <v>7</v>
      </c>
      <c r="E23" s="4" t="s">
        <v>161</v>
      </c>
      <c r="F23" s="5">
        <v>42798</v>
      </c>
      <c r="G23" s="6">
        <v>2</v>
      </c>
      <c r="H23" s="7">
        <f t="shared" si="0"/>
        <v>42859</v>
      </c>
      <c r="I23" s="15">
        <v>10000</v>
      </c>
      <c r="J23" s="15">
        <v>40000</v>
      </c>
      <c r="K23" s="8">
        <f t="shared" si="1"/>
        <v>4000</v>
      </c>
    </row>
    <row r="24" spans="1:11">
      <c r="A24" s="6">
        <v>10022</v>
      </c>
      <c r="B24" s="4" t="s">
        <v>152</v>
      </c>
      <c r="C24" s="4" t="s">
        <v>136</v>
      </c>
      <c r="D24" s="4" t="s">
        <v>7</v>
      </c>
      <c r="E24" s="4" t="s">
        <v>153</v>
      </c>
      <c r="F24" s="5">
        <v>42810</v>
      </c>
      <c r="G24" s="6">
        <v>3</v>
      </c>
      <c r="H24" s="7">
        <f t="shared" si="0"/>
        <v>42902</v>
      </c>
      <c r="I24" s="15">
        <v>10000</v>
      </c>
      <c r="J24" s="15">
        <v>30000</v>
      </c>
      <c r="K24" s="8">
        <f t="shared" si="1"/>
        <v>3000</v>
      </c>
    </row>
    <row r="25" spans="1:11">
      <c r="A25" s="6">
        <v>10023</v>
      </c>
      <c r="B25" s="4" t="s">
        <v>134</v>
      </c>
      <c r="C25" s="4" t="s">
        <v>130</v>
      </c>
      <c r="D25" s="4" t="s">
        <v>7</v>
      </c>
      <c r="E25" s="4" t="s">
        <v>135</v>
      </c>
      <c r="F25" s="5">
        <v>42824</v>
      </c>
      <c r="G25" s="6">
        <v>2</v>
      </c>
      <c r="H25" s="7">
        <f t="shared" si="0"/>
        <v>42885</v>
      </c>
      <c r="I25" s="15">
        <v>10000</v>
      </c>
      <c r="J25" s="15">
        <v>20000</v>
      </c>
      <c r="K25" s="8">
        <f t="shared" si="1"/>
        <v>2000</v>
      </c>
    </row>
    <row r="28" spans="1:11">
      <c r="B28" s="4" t="s">
        <v>3</v>
      </c>
      <c r="C28" s="4" t="s">
        <v>128</v>
      </c>
      <c r="D28" s="4" t="s">
        <v>218</v>
      </c>
      <c r="F28" s="12" t="s">
        <v>346</v>
      </c>
    </row>
    <row r="29" spans="1:11">
      <c r="B29" s="12" t="s">
        <v>349</v>
      </c>
      <c r="C29" s="12" t="s">
        <v>347</v>
      </c>
      <c r="F29" s="12" t="b">
        <f>OR(AND(C3&lt;&gt;"비회원",K3&gt;3000),D3="A")</f>
        <v>1</v>
      </c>
    </row>
    <row r="30" spans="1:11">
      <c r="D30" s="12" t="s">
        <v>348</v>
      </c>
    </row>
    <row r="33" spans="2:12">
      <c r="B33" s="4" t="s">
        <v>1</v>
      </c>
      <c r="C33" s="4" t="s">
        <v>2</v>
      </c>
      <c r="D33" s="4" t="s">
        <v>3</v>
      </c>
      <c r="E33" s="4" t="s">
        <v>218</v>
      </c>
      <c r="F33" s="4" t="s">
        <v>125</v>
      </c>
      <c r="G33" s="4" t="s">
        <v>4</v>
      </c>
      <c r="H33" s="4" t="s">
        <v>5</v>
      </c>
      <c r="I33" s="4" t="s">
        <v>6</v>
      </c>
      <c r="J33" s="4" t="s">
        <v>126</v>
      </c>
      <c r="K33" s="4" t="s">
        <v>127</v>
      </c>
      <c r="L33" s="4" t="s">
        <v>128</v>
      </c>
    </row>
    <row r="34" spans="2:12">
      <c r="B34" s="6">
        <v>10001</v>
      </c>
      <c r="C34" s="4" t="s">
        <v>129</v>
      </c>
      <c r="D34" s="4" t="s">
        <v>130</v>
      </c>
      <c r="E34" s="4" t="s">
        <v>219</v>
      </c>
      <c r="F34" s="4" t="s">
        <v>131</v>
      </c>
      <c r="G34" s="5">
        <v>42740</v>
      </c>
      <c r="H34" s="6">
        <v>4</v>
      </c>
      <c r="I34" s="7">
        <v>42860</v>
      </c>
      <c r="J34" s="15">
        <v>5000</v>
      </c>
      <c r="K34" s="15">
        <v>10000</v>
      </c>
      <c r="L34" s="8">
        <v>1000</v>
      </c>
    </row>
    <row r="35" spans="2:12">
      <c r="B35" s="6">
        <v>30006</v>
      </c>
      <c r="C35" s="4" t="s">
        <v>147</v>
      </c>
      <c r="D35" s="4" t="s">
        <v>12</v>
      </c>
      <c r="E35" s="4" t="s">
        <v>219</v>
      </c>
      <c r="F35" s="4" t="s">
        <v>148</v>
      </c>
      <c r="G35" s="5">
        <v>42819</v>
      </c>
      <c r="H35" s="6">
        <v>6</v>
      </c>
      <c r="I35" s="7">
        <v>43003</v>
      </c>
      <c r="J35" s="15">
        <v>10000</v>
      </c>
      <c r="K35" s="15">
        <v>60000</v>
      </c>
      <c r="L35" s="8">
        <v>6000</v>
      </c>
    </row>
    <row r="36" spans="2:12">
      <c r="B36" s="6">
        <v>40009</v>
      </c>
      <c r="C36" s="4" t="s">
        <v>17</v>
      </c>
      <c r="D36" s="4" t="s">
        <v>130</v>
      </c>
      <c r="E36" s="4" t="s">
        <v>7</v>
      </c>
      <c r="F36" s="4" t="s">
        <v>155</v>
      </c>
      <c r="G36" s="5">
        <v>42845</v>
      </c>
      <c r="H36" s="6">
        <v>4</v>
      </c>
      <c r="I36" s="7">
        <v>42967</v>
      </c>
      <c r="J36" s="15">
        <v>10000</v>
      </c>
      <c r="K36" s="15">
        <v>40000</v>
      </c>
      <c r="L36" s="8">
        <v>4000</v>
      </c>
    </row>
    <row r="37" spans="2:12">
      <c r="B37" s="6">
        <v>40010</v>
      </c>
      <c r="C37" s="4" t="s">
        <v>18</v>
      </c>
      <c r="D37" s="4" t="s">
        <v>136</v>
      </c>
      <c r="E37" s="4" t="s">
        <v>219</v>
      </c>
      <c r="F37" s="4" t="s">
        <v>19</v>
      </c>
      <c r="G37" s="5">
        <v>42847</v>
      </c>
      <c r="H37" s="6">
        <v>1</v>
      </c>
      <c r="I37" s="7">
        <v>42877</v>
      </c>
      <c r="J37" s="15">
        <v>10000</v>
      </c>
      <c r="K37" s="15">
        <v>40000</v>
      </c>
      <c r="L37" s="8">
        <v>4000</v>
      </c>
    </row>
    <row r="38" spans="2:12">
      <c r="B38" s="6">
        <v>50013</v>
      </c>
      <c r="C38" s="4" t="s">
        <v>149</v>
      </c>
      <c r="D38" s="4" t="s">
        <v>12</v>
      </c>
      <c r="E38" s="4" t="s">
        <v>7</v>
      </c>
      <c r="F38" s="4" t="s">
        <v>150</v>
      </c>
      <c r="G38" s="5">
        <v>42861</v>
      </c>
      <c r="H38" s="6">
        <v>5</v>
      </c>
      <c r="I38" s="7">
        <v>43014</v>
      </c>
      <c r="J38" s="15">
        <v>30000</v>
      </c>
      <c r="K38" s="15">
        <v>150000</v>
      </c>
      <c r="L38" s="8">
        <v>15000</v>
      </c>
    </row>
    <row r="39" spans="2:12">
      <c r="B39" s="6">
        <v>10014</v>
      </c>
      <c r="C39" s="4" t="s">
        <v>20</v>
      </c>
      <c r="D39" s="4" t="s">
        <v>136</v>
      </c>
      <c r="E39" s="4" t="s">
        <v>219</v>
      </c>
      <c r="F39" s="4" t="s">
        <v>151</v>
      </c>
      <c r="G39" s="5">
        <v>42864</v>
      </c>
      <c r="H39" s="6">
        <v>3</v>
      </c>
      <c r="I39" s="7">
        <v>42956</v>
      </c>
      <c r="J39" s="15">
        <v>30000</v>
      </c>
      <c r="K39" s="15">
        <v>90000</v>
      </c>
      <c r="L39" s="8">
        <v>9000</v>
      </c>
    </row>
    <row r="40" spans="2:12">
      <c r="B40" s="6">
        <v>20015</v>
      </c>
      <c r="C40" s="4" t="s">
        <v>154</v>
      </c>
      <c r="D40" s="4" t="s">
        <v>130</v>
      </c>
      <c r="E40" s="4" t="s">
        <v>220</v>
      </c>
      <c r="F40" s="4" t="s">
        <v>21</v>
      </c>
      <c r="G40" s="5">
        <v>42869</v>
      </c>
      <c r="H40" s="6">
        <v>4</v>
      </c>
      <c r="I40" s="7">
        <v>42992</v>
      </c>
      <c r="J40" s="15">
        <v>25000</v>
      </c>
      <c r="K40" s="15">
        <v>100000</v>
      </c>
      <c r="L40" s="8">
        <v>10000</v>
      </c>
    </row>
    <row r="41" spans="2:12">
      <c r="B41" s="6">
        <v>20016</v>
      </c>
      <c r="C41" s="4" t="s">
        <v>158</v>
      </c>
      <c r="D41" s="4" t="s">
        <v>130</v>
      </c>
      <c r="E41" s="4" t="s">
        <v>7</v>
      </c>
      <c r="F41" s="4" t="s">
        <v>159</v>
      </c>
      <c r="G41" s="5">
        <v>42875</v>
      </c>
      <c r="H41" s="6">
        <v>3</v>
      </c>
      <c r="I41" s="7">
        <v>42967</v>
      </c>
      <c r="J41" s="15">
        <v>15000</v>
      </c>
      <c r="K41" s="15">
        <v>45000</v>
      </c>
      <c r="L41" s="8">
        <v>4500</v>
      </c>
    </row>
    <row r="42" spans="2:12">
      <c r="B42" s="6">
        <v>10019</v>
      </c>
      <c r="C42" s="4" t="s">
        <v>132</v>
      </c>
      <c r="D42" s="4" t="s">
        <v>130</v>
      </c>
      <c r="E42" s="4" t="s">
        <v>7</v>
      </c>
      <c r="F42" s="4" t="s">
        <v>133</v>
      </c>
      <c r="G42" s="5">
        <v>42787</v>
      </c>
      <c r="H42" s="6">
        <v>5</v>
      </c>
      <c r="I42" s="7">
        <v>42937</v>
      </c>
      <c r="J42" s="15">
        <v>20000</v>
      </c>
      <c r="K42" s="15">
        <v>100000</v>
      </c>
      <c r="L42" s="8">
        <v>10000</v>
      </c>
    </row>
    <row r="43" spans="2:12">
      <c r="B43" s="6">
        <v>20021</v>
      </c>
      <c r="C43" s="4" t="s">
        <v>160</v>
      </c>
      <c r="D43" s="4" t="s">
        <v>130</v>
      </c>
      <c r="E43" s="4" t="s">
        <v>7</v>
      </c>
      <c r="F43" s="4" t="s">
        <v>161</v>
      </c>
      <c r="G43" s="5">
        <v>42798</v>
      </c>
      <c r="H43" s="6">
        <v>2</v>
      </c>
      <c r="I43" s="7">
        <v>42859</v>
      </c>
      <c r="J43" s="15">
        <v>10000</v>
      </c>
      <c r="K43" s="15">
        <v>40000</v>
      </c>
      <c r="L43" s="8">
        <v>4000</v>
      </c>
    </row>
    <row r="47" spans="2:12">
      <c r="B47" s="4" t="s">
        <v>1</v>
      </c>
      <c r="C47" s="4" t="s">
        <v>2</v>
      </c>
      <c r="D47" s="4" t="s">
        <v>3</v>
      </c>
      <c r="E47" s="4" t="s">
        <v>218</v>
      </c>
      <c r="F47" s="4" t="s">
        <v>125</v>
      </c>
      <c r="G47" s="4" t="s">
        <v>4</v>
      </c>
      <c r="H47" s="4" t="s">
        <v>5</v>
      </c>
      <c r="I47" s="4" t="s">
        <v>6</v>
      </c>
      <c r="J47" s="4" t="s">
        <v>126</v>
      </c>
      <c r="K47" s="4" t="s">
        <v>127</v>
      </c>
      <c r="L47" s="4" t="s">
        <v>128</v>
      </c>
    </row>
    <row r="48" spans="2:12">
      <c r="B48" s="6">
        <v>10001</v>
      </c>
      <c r="C48" s="4" t="s">
        <v>129</v>
      </c>
      <c r="D48" s="4" t="s">
        <v>130</v>
      </c>
      <c r="E48" s="4" t="s">
        <v>219</v>
      </c>
      <c r="F48" s="4" t="s">
        <v>131</v>
      </c>
      <c r="G48" s="5">
        <v>42740</v>
      </c>
      <c r="H48" s="6">
        <v>4</v>
      </c>
      <c r="I48" s="7">
        <v>42860</v>
      </c>
      <c r="J48" s="15">
        <v>5000</v>
      </c>
      <c r="K48" s="15">
        <v>10000</v>
      </c>
      <c r="L48" s="8">
        <v>1000</v>
      </c>
    </row>
    <row r="49" spans="2:12">
      <c r="B49" s="6">
        <v>30006</v>
      </c>
      <c r="C49" s="4" t="s">
        <v>147</v>
      </c>
      <c r="D49" s="4" t="s">
        <v>12</v>
      </c>
      <c r="E49" s="4" t="s">
        <v>219</v>
      </c>
      <c r="F49" s="4" t="s">
        <v>148</v>
      </c>
      <c r="G49" s="5">
        <v>42819</v>
      </c>
      <c r="H49" s="6">
        <v>6</v>
      </c>
      <c r="I49" s="7">
        <v>43003</v>
      </c>
      <c r="J49" s="15">
        <v>10000</v>
      </c>
      <c r="K49" s="15">
        <v>60000</v>
      </c>
      <c r="L49" s="8">
        <v>6000</v>
      </c>
    </row>
    <row r="50" spans="2:12">
      <c r="B50" s="6">
        <v>40009</v>
      </c>
      <c r="C50" s="4" t="s">
        <v>17</v>
      </c>
      <c r="D50" s="4" t="s">
        <v>130</v>
      </c>
      <c r="E50" s="4" t="s">
        <v>7</v>
      </c>
      <c r="F50" s="4" t="s">
        <v>155</v>
      </c>
      <c r="G50" s="5">
        <v>42845</v>
      </c>
      <c r="H50" s="6">
        <v>4</v>
      </c>
      <c r="I50" s="7">
        <v>42967</v>
      </c>
      <c r="J50" s="15">
        <v>10000</v>
      </c>
      <c r="K50" s="15">
        <v>40000</v>
      </c>
      <c r="L50" s="8">
        <v>4000</v>
      </c>
    </row>
    <row r="51" spans="2:12">
      <c r="B51" s="6">
        <v>40010</v>
      </c>
      <c r="C51" s="4" t="s">
        <v>18</v>
      </c>
      <c r="D51" s="4" t="s">
        <v>136</v>
      </c>
      <c r="E51" s="4" t="s">
        <v>219</v>
      </c>
      <c r="F51" s="4" t="s">
        <v>19</v>
      </c>
      <c r="G51" s="5">
        <v>42847</v>
      </c>
      <c r="H51" s="6">
        <v>1</v>
      </c>
      <c r="I51" s="7">
        <v>42877</v>
      </c>
      <c r="J51" s="15">
        <v>10000</v>
      </c>
      <c r="K51" s="15">
        <v>40000</v>
      </c>
      <c r="L51" s="8">
        <v>4000</v>
      </c>
    </row>
    <row r="52" spans="2:12">
      <c r="B52" s="6">
        <v>50013</v>
      </c>
      <c r="C52" s="4" t="s">
        <v>149</v>
      </c>
      <c r="D52" s="4" t="s">
        <v>12</v>
      </c>
      <c r="E52" s="4" t="s">
        <v>7</v>
      </c>
      <c r="F52" s="4" t="s">
        <v>150</v>
      </c>
      <c r="G52" s="5">
        <v>42861</v>
      </c>
      <c r="H52" s="6">
        <v>5</v>
      </c>
      <c r="I52" s="7">
        <v>43014</v>
      </c>
      <c r="J52" s="15">
        <v>30000</v>
      </c>
      <c r="K52" s="15">
        <v>150000</v>
      </c>
      <c r="L52" s="8">
        <v>15000</v>
      </c>
    </row>
    <row r="53" spans="2:12">
      <c r="B53" s="6">
        <v>10014</v>
      </c>
      <c r="C53" s="4" t="s">
        <v>20</v>
      </c>
      <c r="D53" s="4" t="s">
        <v>136</v>
      </c>
      <c r="E53" s="4" t="s">
        <v>219</v>
      </c>
      <c r="F53" s="4" t="s">
        <v>151</v>
      </c>
      <c r="G53" s="5">
        <v>42864</v>
      </c>
      <c r="H53" s="6">
        <v>3</v>
      </c>
      <c r="I53" s="7">
        <v>42956</v>
      </c>
      <c r="J53" s="15">
        <v>30000</v>
      </c>
      <c r="K53" s="15">
        <v>90000</v>
      </c>
      <c r="L53" s="8">
        <v>9000</v>
      </c>
    </row>
    <row r="54" spans="2:12">
      <c r="B54" s="6">
        <v>20015</v>
      </c>
      <c r="C54" s="4" t="s">
        <v>154</v>
      </c>
      <c r="D54" s="4" t="s">
        <v>130</v>
      </c>
      <c r="E54" s="4" t="s">
        <v>220</v>
      </c>
      <c r="F54" s="4" t="s">
        <v>21</v>
      </c>
      <c r="G54" s="5">
        <v>42869</v>
      </c>
      <c r="H54" s="6">
        <v>4</v>
      </c>
      <c r="I54" s="7">
        <v>42992</v>
      </c>
      <c r="J54" s="15">
        <v>25000</v>
      </c>
      <c r="K54" s="15">
        <v>100000</v>
      </c>
      <c r="L54" s="8">
        <v>10000</v>
      </c>
    </row>
    <row r="55" spans="2:12">
      <c r="B55" s="6">
        <v>20016</v>
      </c>
      <c r="C55" s="4" t="s">
        <v>158</v>
      </c>
      <c r="D55" s="4" t="s">
        <v>130</v>
      </c>
      <c r="E55" s="4" t="s">
        <v>7</v>
      </c>
      <c r="F55" s="4" t="s">
        <v>159</v>
      </c>
      <c r="G55" s="5">
        <v>42875</v>
      </c>
      <c r="H55" s="6">
        <v>3</v>
      </c>
      <c r="I55" s="7">
        <v>42967</v>
      </c>
      <c r="J55" s="15">
        <v>15000</v>
      </c>
      <c r="K55" s="15">
        <v>45000</v>
      </c>
      <c r="L55" s="8">
        <v>4500</v>
      </c>
    </row>
    <row r="56" spans="2:12">
      <c r="B56" s="6">
        <v>10019</v>
      </c>
      <c r="C56" s="4" t="s">
        <v>132</v>
      </c>
      <c r="D56" s="4" t="s">
        <v>130</v>
      </c>
      <c r="E56" s="4" t="s">
        <v>7</v>
      </c>
      <c r="F56" s="4" t="s">
        <v>133</v>
      </c>
      <c r="G56" s="5">
        <v>42787</v>
      </c>
      <c r="H56" s="6">
        <v>5</v>
      </c>
      <c r="I56" s="7">
        <v>42937</v>
      </c>
      <c r="J56" s="15">
        <v>20000</v>
      </c>
      <c r="K56" s="15">
        <v>100000</v>
      </c>
      <c r="L56" s="8">
        <v>10000</v>
      </c>
    </row>
    <row r="57" spans="2:12">
      <c r="B57" s="6">
        <v>20021</v>
      </c>
      <c r="C57" s="4" t="s">
        <v>160</v>
      </c>
      <c r="D57" s="4" t="s">
        <v>130</v>
      </c>
      <c r="E57" s="4" t="s">
        <v>7</v>
      </c>
      <c r="F57" s="4" t="s">
        <v>161</v>
      </c>
      <c r="G57" s="5">
        <v>42798</v>
      </c>
      <c r="H57" s="6">
        <v>2</v>
      </c>
      <c r="I57" s="7">
        <v>42859</v>
      </c>
      <c r="J57" s="15">
        <v>10000</v>
      </c>
      <c r="K57" s="15">
        <v>40000</v>
      </c>
      <c r="L57" s="8">
        <v>4000</v>
      </c>
    </row>
  </sheetData>
  <phoneticPr fontId="2" type="noConversion"/>
  <conditionalFormatting sqref="A3:K25">
    <cfRule type="expression" dxfId="0" priority="1">
      <formula>AND(LEFT($A3,1)="1",MONTH($H3)=5)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&amp;C전체 &amp;N &amp;
페이지 중  &amp;P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R40"/>
  <sheetViews>
    <sheetView workbookViewId="0">
      <selection activeCell="P9" sqref="P9"/>
    </sheetView>
  </sheetViews>
  <sheetFormatPr defaultRowHeight="16.5"/>
  <cols>
    <col min="1" max="1" width="3.125" style="12" customWidth="1"/>
    <col min="2" max="4" width="9" style="12"/>
    <col min="5" max="5" width="11" style="9" bestFit="1" customWidth="1"/>
    <col min="6" max="6" width="12.875" style="12" bestFit="1" customWidth="1"/>
    <col min="7" max="7" width="13" style="12" bestFit="1" customWidth="1"/>
    <col min="8" max="8" width="12.875" style="12" bestFit="1" customWidth="1"/>
    <col min="9" max="10" width="10" style="12" bestFit="1" customWidth="1"/>
    <col min="11" max="11" width="11.5" style="13" customWidth="1"/>
    <col min="12" max="12" width="9" style="12"/>
    <col min="13" max="13" width="9" style="13"/>
    <col min="14" max="17" width="9" style="12"/>
    <col min="18" max="18" width="10.875" style="12" bestFit="1" customWidth="1"/>
    <col min="19" max="256" width="9" style="12"/>
    <col min="257" max="257" width="3.125" style="12" customWidth="1"/>
    <col min="258" max="260" width="9" style="12"/>
    <col min="261" max="261" width="11" style="12" bestFit="1" customWidth="1"/>
    <col min="262" max="262" width="12.875" style="12" bestFit="1" customWidth="1"/>
    <col min="263" max="263" width="13" style="12" bestFit="1" customWidth="1"/>
    <col min="264" max="264" width="12.875" style="12" bestFit="1" customWidth="1"/>
    <col min="265" max="266" width="9" style="12"/>
    <col min="267" max="267" width="11.5" style="12" customWidth="1"/>
    <col min="268" max="512" width="9" style="12"/>
    <col min="513" max="513" width="3.125" style="12" customWidth="1"/>
    <col min="514" max="516" width="9" style="12"/>
    <col min="517" max="517" width="11" style="12" bestFit="1" customWidth="1"/>
    <col min="518" max="518" width="12.875" style="12" bestFit="1" customWidth="1"/>
    <col min="519" max="519" width="13" style="12" bestFit="1" customWidth="1"/>
    <col min="520" max="520" width="12.875" style="12" bestFit="1" customWidth="1"/>
    <col min="521" max="522" width="9" style="12"/>
    <col min="523" max="523" width="11.5" style="12" customWidth="1"/>
    <col min="524" max="768" width="9" style="12"/>
    <col min="769" max="769" width="3.125" style="12" customWidth="1"/>
    <col min="770" max="772" width="9" style="12"/>
    <col min="773" max="773" width="11" style="12" bestFit="1" customWidth="1"/>
    <col min="774" max="774" width="12.875" style="12" bestFit="1" customWidth="1"/>
    <col min="775" max="775" width="13" style="12" bestFit="1" customWidth="1"/>
    <col min="776" max="776" width="12.875" style="12" bestFit="1" customWidth="1"/>
    <col min="777" max="778" width="9" style="12"/>
    <col min="779" max="779" width="11.5" style="12" customWidth="1"/>
    <col min="780" max="1024" width="9" style="12"/>
    <col min="1025" max="1025" width="3.125" style="12" customWidth="1"/>
    <col min="1026" max="1028" width="9" style="12"/>
    <col min="1029" max="1029" width="11" style="12" bestFit="1" customWidth="1"/>
    <col min="1030" max="1030" width="12.875" style="12" bestFit="1" customWidth="1"/>
    <col min="1031" max="1031" width="13" style="12" bestFit="1" customWidth="1"/>
    <col min="1032" max="1032" width="12.875" style="12" bestFit="1" customWidth="1"/>
    <col min="1033" max="1034" width="9" style="12"/>
    <col min="1035" max="1035" width="11.5" style="12" customWidth="1"/>
    <col min="1036" max="1280" width="9" style="12"/>
    <col min="1281" max="1281" width="3.125" style="12" customWidth="1"/>
    <col min="1282" max="1284" width="9" style="12"/>
    <col min="1285" max="1285" width="11" style="12" bestFit="1" customWidth="1"/>
    <col min="1286" max="1286" width="12.875" style="12" bestFit="1" customWidth="1"/>
    <col min="1287" max="1287" width="13" style="12" bestFit="1" customWidth="1"/>
    <col min="1288" max="1288" width="12.875" style="12" bestFit="1" customWidth="1"/>
    <col min="1289" max="1290" width="9" style="12"/>
    <col min="1291" max="1291" width="11.5" style="12" customWidth="1"/>
    <col min="1292" max="1536" width="9" style="12"/>
    <col min="1537" max="1537" width="3.125" style="12" customWidth="1"/>
    <col min="1538" max="1540" width="9" style="12"/>
    <col min="1541" max="1541" width="11" style="12" bestFit="1" customWidth="1"/>
    <col min="1542" max="1542" width="12.875" style="12" bestFit="1" customWidth="1"/>
    <col min="1543" max="1543" width="13" style="12" bestFit="1" customWidth="1"/>
    <col min="1544" max="1544" width="12.875" style="12" bestFit="1" customWidth="1"/>
    <col min="1545" max="1546" width="9" style="12"/>
    <col min="1547" max="1547" width="11.5" style="12" customWidth="1"/>
    <col min="1548" max="1792" width="9" style="12"/>
    <col min="1793" max="1793" width="3.125" style="12" customWidth="1"/>
    <col min="1794" max="1796" width="9" style="12"/>
    <col min="1797" max="1797" width="11" style="12" bestFit="1" customWidth="1"/>
    <col min="1798" max="1798" width="12.875" style="12" bestFit="1" customWidth="1"/>
    <col min="1799" max="1799" width="13" style="12" bestFit="1" customWidth="1"/>
    <col min="1800" max="1800" width="12.875" style="12" bestFit="1" customWidth="1"/>
    <col min="1801" max="1802" width="9" style="12"/>
    <col min="1803" max="1803" width="11.5" style="12" customWidth="1"/>
    <col min="1804" max="2048" width="9" style="12"/>
    <col min="2049" max="2049" width="3.125" style="12" customWidth="1"/>
    <col min="2050" max="2052" width="9" style="12"/>
    <col min="2053" max="2053" width="11" style="12" bestFit="1" customWidth="1"/>
    <col min="2054" max="2054" width="12.875" style="12" bestFit="1" customWidth="1"/>
    <col min="2055" max="2055" width="13" style="12" bestFit="1" customWidth="1"/>
    <col min="2056" max="2056" width="12.875" style="12" bestFit="1" customWidth="1"/>
    <col min="2057" max="2058" width="9" style="12"/>
    <col min="2059" max="2059" width="11.5" style="12" customWidth="1"/>
    <col min="2060" max="2304" width="9" style="12"/>
    <col min="2305" max="2305" width="3.125" style="12" customWidth="1"/>
    <col min="2306" max="2308" width="9" style="12"/>
    <col min="2309" max="2309" width="11" style="12" bestFit="1" customWidth="1"/>
    <col min="2310" max="2310" width="12.875" style="12" bestFit="1" customWidth="1"/>
    <col min="2311" max="2311" width="13" style="12" bestFit="1" customWidth="1"/>
    <col min="2312" max="2312" width="12.875" style="12" bestFit="1" customWidth="1"/>
    <col min="2313" max="2314" width="9" style="12"/>
    <col min="2315" max="2315" width="11.5" style="12" customWidth="1"/>
    <col min="2316" max="2560" width="9" style="12"/>
    <col min="2561" max="2561" width="3.125" style="12" customWidth="1"/>
    <col min="2562" max="2564" width="9" style="12"/>
    <col min="2565" max="2565" width="11" style="12" bestFit="1" customWidth="1"/>
    <col min="2566" max="2566" width="12.875" style="12" bestFit="1" customWidth="1"/>
    <col min="2567" max="2567" width="13" style="12" bestFit="1" customWidth="1"/>
    <col min="2568" max="2568" width="12.875" style="12" bestFit="1" customWidth="1"/>
    <col min="2569" max="2570" width="9" style="12"/>
    <col min="2571" max="2571" width="11.5" style="12" customWidth="1"/>
    <col min="2572" max="2816" width="9" style="12"/>
    <col min="2817" max="2817" width="3.125" style="12" customWidth="1"/>
    <col min="2818" max="2820" width="9" style="12"/>
    <col min="2821" max="2821" width="11" style="12" bestFit="1" customWidth="1"/>
    <col min="2822" max="2822" width="12.875" style="12" bestFit="1" customWidth="1"/>
    <col min="2823" max="2823" width="13" style="12" bestFit="1" customWidth="1"/>
    <col min="2824" max="2824" width="12.875" style="12" bestFit="1" customWidth="1"/>
    <col min="2825" max="2826" width="9" style="12"/>
    <col min="2827" max="2827" width="11.5" style="12" customWidth="1"/>
    <col min="2828" max="3072" width="9" style="12"/>
    <col min="3073" max="3073" width="3.125" style="12" customWidth="1"/>
    <col min="3074" max="3076" width="9" style="12"/>
    <col min="3077" max="3077" width="11" style="12" bestFit="1" customWidth="1"/>
    <col min="3078" max="3078" width="12.875" style="12" bestFit="1" customWidth="1"/>
    <col min="3079" max="3079" width="13" style="12" bestFit="1" customWidth="1"/>
    <col min="3080" max="3080" width="12.875" style="12" bestFit="1" customWidth="1"/>
    <col min="3081" max="3082" width="9" style="12"/>
    <col min="3083" max="3083" width="11.5" style="12" customWidth="1"/>
    <col min="3084" max="3328" width="9" style="12"/>
    <col min="3329" max="3329" width="3.125" style="12" customWidth="1"/>
    <col min="3330" max="3332" width="9" style="12"/>
    <col min="3333" max="3333" width="11" style="12" bestFit="1" customWidth="1"/>
    <col min="3334" max="3334" width="12.875" style="12" bestFit="1" customWidth="1"/>
    <col min="3335" max="3335" width="13" style="12" bestFit="1" customWidth="1"/>
    <col min="3336" max="3336" width="12.875" style="12" bestFit="1" customWidth="1"/>
    <col min="3337" max="3338" width="9" style="12"/>
    <col min="3339" max="3339" width="11.5" style="12" customWidth="1"/>
    <col min="3340" max="3584" width="9" style="12"/>
    <col min="3585" max="3585" width="3.125" style="12" customWidth="1"/>
    <col min="3586" max="3588" width="9" style="12"/>
    <col min="3589" max="3589" width="11" style="12" bestFit="1" customWidth="1"/>
    <col min="3590" max="3590" width="12.875" style="12" bestFit="1" customWidth="1"/>
    <col min="3591" max="3591" width="13" style="12" bestFit="1" customWidth="1"/>
    <col min="3592" max="3592" width="12.875" style="12" bestFit="1" customWidth="1"/>
    <col min="3593" max="3594" width="9" style="12"/>
    <col min="3595" max="3595" width="11.5" style="12" customWidth="1"/>
    <col min="3596" max="3840" width="9" style="12"/>
    <col min="3841" max="3841" width="3.125" style="12" customWidth="1"/>
    <col min="3842" max="3844" width="9" style="12"/>
    <col min="3845" max="3845" width="11" style="12" bestFit="1" customWidth="1"/>
    <col min="3846" max="3846" width="12.875" style="12" bestFit="1" customWidth="1"/>
    <col min="3847" max="3847" width="13" style="12" bestFit="1" customWidth="1"/>
    <col min="3848" max="3848" width="12.875" style="12" bestFit="1" customWidth="1"/>
    <col min="3849" max="3850" width="9" style="12"/>
    <col min="3851" max="3851" width="11.5" style="12" customWidth="1"/>
    <col min="3852" max="4096" width="9" style="12"/>
    <col min="4097" max="4097" width="3.125" style="12" customWidth="1"/>
    <col min="4098" max="4100" width="9" style="12"/>
    <col min="4101" max="4101" width="11" style="12" bestFit="1" customWidth="1"/>
    <col min="4102" max="4102" width="12.875" style="12" bestFit="1" customWidth="1"/>
    <col min="4103" max="4103" width="13" style="12" bestFit="1" customWidth="1"/>
    <col min="4104" max="4104" width="12.875" style="12" bestFit="1" customWidth="1"/>
    <col min="4105" max="4106" width="9" style="12"/>
    <col min="4107" max="4107" width="11.5" style="12" customWidth="1"/>
    <col min="4108" max="4352" width="9" style="12"/>
    <col min="4353" max="4353" width="3.125" style="12" customWidth="1"/>
    <col min="4354" max="4356" width="9" style="12"/>
    <col min="4357" max="4357" width="11" style="12" bestFit="1" customWidth="1"/>
    <col min="4358" max="4358" width="12.875" style="12" bestFit="1" customWidth="1"/>
    <col min="4359" max="4359" width="13" style="12" bestFit="1" customWidth="1"/>
    <col min="4360" max="4360" width="12.875" style="12" bestFit="1" customWidth="1"/>
    <col min="4361" max="4362" width="9" style="12"/>
    <col min="4363" max="4363" width="11.5" style="12" customWidth="1"/>
    <col min="4364" max="4608" width="9" style="12"/>
    <col min="4609" max="4609" width="3.125" style="12" customWidth="1"/>
    <col min="4610" max="4612" width="9" style="12"/>
    <col min="4613" max="4613" width="11" style="12" bestFit="1" customWidth="1"/>
    <col min="4614" max="4614" width="12.875" style="12" bestFit="1" customWidth="1"/>
    <col min="4615" max="4615" width="13" style="12" bestFit="1" customWidth="1"/>
    <col min="4616" max="4616" width="12.875" style="12" bestFit="1" customWidth="1"/>
    <col min="4617" max="4618" width="9" style="12"/>
    <col min="4619" max="4619" width="11.5" style="12" customWidth="1"/>
    <col min="4620" max="4864" width="9" style="12"/>
    <col min="4865" max="4865" width="3.125" style="12" customWidth="1"/>
    <col min="4866" max="4868" width="9" style="12"/>
    <col min="4869" max="4869" width="11" style="12" bestFit="1" customWidth="1"/>
    <col min="4870" max="4870" width="12.875" style="12" bestFit="1" customWidth="1"/>
    <col min="4871" max="4871" width="13" style="12" bestFit="1" customWidth="1"/>
    <col min="4872" max="4872" width="12.875" style="12" bestFit="1" customWidth="1"/>
    <col min="4873" max="4874" width="9" style="12"/>
    <col min="4875" max="4875" width="11.5" style="12" customWidth="1"/>
    <col min="4876" max="5120" width="9" style="12"/>
    <col min="5121" max="5121" width="3.125" style="12" customWidth="1"/>
    <col min="5122" max="5124" width="9" style="12"/>
    <col min="5125" max="5125" width="11" style="12" bestFit="1" customWidth="1"/>
    <col min="5126" max="5126" width="12.875" style="12" bestFit="1" customWidth="1"/>
    <col min="5127" max="5127" width="13" style="12" bestFit="1" customWidth="1"/>
    <col min="5128" max="5128" width="12.875" style="12" bestFit="1" customWidth="1"/>
    <col min="5129" max="5130" width="9" style="12"/>
    <col min="5131" max="5131" width="11.5" style="12" customWidth="1"/>
    <col min="5132" max="5376" width="9" style="12"/>
    <col min="5377" max="5377" width="3.125" style="12" customWidth="1"/>
    <col min="5378" max="5380" width="9" style="12"/>
    <col min="5381" max="5381" width="11" style="12" bestFit="1" customWidth="1"/>
    <col min="5382" max="5382" width="12.875" style="12" bestFit="1" customWidth="1"/>
    <col min="5383" max="5383" width="13" style="12" bestFit="1" customWidth="1"/>
    <col min="5384" max="5384" width="12.875" style="12" bestFit="1" customWidth="1"/>
    <col min="5385" max="5386" width="9" style="12"/>
    <col min="5387" max="5387" width="11.5" style="12" customWidth="1"/>
    <col min="5388" max="5632" width="9" style="12"/>
    <col min="5633" max="5633" width="3.125" style="12" customWidth="1"/>
    <col min="5634" max="5636" width="9" style="12"/>
    <col min="5637" max="5637" width="11" style="12" bestFit="1" customWidth="1"/>
    <col min="5638" max="5638" width="12.875" style="12" bestFit="1" customWidth="1"/>
    <col min="5639" max="5639" width="13" style="12" bestFit="1" customWidth="1"/>
    <col min="5640" max="5640" width="12.875" style="12" bestFit="1" customWidth="1"/>
    <col min="5641" max="5642" width="9" style="12"/>
    <col min="5643" max="5643" width="11.5" style="12" customWidth="1"/>
    <col min="5644" max="5888" width="9" style="12"/>
    <col min="5889" max="5889" width="3.125" style="12" customWidth="1"/>
    <col min="5890" max="5892" width="9" style="12"/>
    <col min="5893" max="5893" width="11" style="12" bestFit="1" customWidth="1"/>
    <col min="5894" max="5894" width="12.875" style="12" bestFit="1" customWidth="1"/>
    <col min="5895" max="5895" width="13" style="12" bestFit="1" customWidth="1"/>
    <col min="5896" max="5896" width="12.875" style="12" bestFit="1" customWidth="1"/>
    <col min="5897" max="5898" width="9" style="12"/>
    <col min="5899" max="5899" width="11.5" style="12" customWidth="1"/>
    <col min="5900" max="6144" width="9" style="12"/>
    <col min="6145" max="6145" width="3.125" style="12" customWidth="1"/>
    <col min="6146" max="6148" width="9" style="12"/>
    <col min="6149" max="6149" width="11" style="12" bestFit="1" customWidth="1"/>
    <col min="6150" max="6150" width="12.875" style="12" bestFit="1" customWidth="1"/>
    <col min="6151" max="6151" width="13" style="12" bestFit="1" customWidth="1"/>
    <col min="6152" max="6152" width="12.875" style="12" bestFit="1" customWidth="1"/>
    <col min="6153" max="6154" width="9" style="12"/>
    <col min="6155" max="6155" width="11.5" style="12" customWidth="1"/>
    <col min="6156" max="6400" width="9" style="12"/>
    <col min="6401" max="6401" width="3.125" style="12" customWidth="1"/>
    <col min="6402" max="6404" width="9" style="12"/>
    <col min="6405" max="6405" width="11" style="12" bestFit="1" customWidth="1"/>
    <col min="6406" max="6406" width="12.875" style="12" bestFit="1" customWidth="1"/>
    <col min="6407" max="6407" width="13" style="12" bestFit="1" customWidth="1"/>
    <col min="6408" max="6408" width="12.875" style="12" bestFit="1" customWidth="1"/>
    <col min="6409" max="6410" width="9" style="12"/>
    <col min="6411" max="6411" width="11.5" style="12" customWidth="1"/>
    <col min="6412" max="6656" width="9" style="12"/>
    <col min="6657" max="6657" width="3.125" style="12" customWidth="1"/>
    <col min="6658" max="6660" width="9" style="12"/>
    <col min="6661" max="6661" width="11" style="12" bestFit="1" customWidth="1"/>
    <col min="6662" max="6662" width="12.875" style="12" bestFit="1" customWidth="1"/>
    <col min="6663" max="6663" width="13" style="12" bestFit="1" customWidth="1"/>
    <col min="6664" max="6664" width="12.875" style="12" bestFit="1" customWidth="1"/>
    <col min="6665" max="6666" width="9" style="12"/>
    <col min="6667" max="6667" width="11.5" style="12" customWidth="1"/>
    <col min="6668" max="6912" width="9" style="12"/>
    <col min="6913" max="6913" width="3.125" style="12" customWidth="1"/>
    <col min="6914" max="6916" width="9" style="12"/>
    <col min="6917" max="6917" width="11" style="12" bestFit="1" customWidth="1"/>
    <col min="6918" max="6918" width="12.875" style="12" bestFit="1" customWidth="1"/>
    <col min="6919" max="6919" width="13" style="12" bestFit="1" customWidth="1"/>
    <col min="6920" max="6920" width="12.875" style="12" bestFit="1" customWidth="1"/>
    <col min="6921" max="6922" width="9" style="12"/>
    <col min="6923" max="6923" width="11.5" style="12" customWidth="1"/>
    <col min="6924" max="7168" width="9" style="12"/>
    <col min="7169" max="7169" width="3.125" style="12" customWidth="1"/>
    <col min="7170" max="7172" width="9" style="12"/>
    <col min="7173" max="7173" width="11" style="12" bestFit="1" customWidth="1"/>
    <col min="7174" max="7174" width="12.875" style="12" bestFit="1" customWidth="1"/>
    <col min="7175" max="7175" width="13" style="12" bestFit="1" customWidth="1"/>
    <col min="7176" max="7176" width="12.875" style="12" bestFit="1" customWidth="1"/>
    <col min="7177" max="7178" width="9" style="12"/>
    <col min="7179" max="7179" width="11.5" style="12" customWidth="1"/>
    <col min="7180" max="7424" width="9" style="12"/>
    <col min="7425" max="7425" width="3.125" style="12" customWidth="1"/>
    <col min="7426" max="7428" width="9" style="12"/>
    <col min="7429" max="7429" width="11" style="12" bestFit="1" customWidth="1"/>
    <col min="7430" max="7430" width="12.875" style="12" bestFit="1" customWidth="1"/>
    <col min="7431" max="7431" width="13" style="12" bestFit="1" customWidth="1"/>
    <col min="7432" max="7432" width="12.875" style="12" bestFit="1" customWidth="1"/>
    <col min="7433" max="7434" width="9" style="12"/>
    <col min="7435" max="7435" width="11.5" style="12" customWidth="1"/>
    <col min="7436" max="7680" width="9" style="12"/>
    <col min="7681" max="7681" width="3.125" style="12" customWidth="1"/>
    <col min="7682" max="7684" width="9" style="12"/>
    <col min="7685" max="7685" width="11" style="12" bestFit="1" customWidth="1"/>
    <col min="7686" max="7686" width="12.875" style="12" bestFit="1" customWidth="1"/>
    <col min="7687" max="7687" width="13" style="12" bestFit="1" customWidth="1"/>
    <col min="7688" max="7688" width="12.875" style="12" bestFit="1" customWidth="1"/>
    <col min="7689" max="7690" width="9" style="12"/>
    <col min="7691" max="7691" width="11.5" style="12" customWidth="1"/>
    <col min="7692" max="7936" width="9" style="12"/>
    <col min="7937" max="7937" width="3.125" style="12" customWidth="1"/>
    <col min="7938" max="7940" width="9" style="12"/>
    <col min="7941" max="7941" width="11" style="12" bestFit="1" customWidth="1"/>
    <col min="7942" max="7942" width="12.875" style="12" bestFit="1" customWidth="1"/>
    <col min="7943" max="7943" width="13" style="12" bestFit="1" customWidth="1"/>
    <col min="7944" max="7944" width="12.875" style="12" bestFit="1" customWidth="1"/>
    <col min="7945" max="7946" width="9" style="12"/>
    <col min="7947" max="7947" width="11.5" style="12" customWidth="1"/>
    <col min="7948" max="8192" width="9" style="12"/>
    <col min="8193" max="8193" width="3.125" style="12" customWidth="1"/>
    <col min="8194" max="8196" width="9" style="12"/>
    <col min="8197" max="8197" width="11" style="12" bestFit="1" customWidth="1"/>
    <col min="8198" max="8198" width="12.875" style="12" bestFit="1" customWidth="1"/>
    <col min="8199" max="8199" width="13" style="12" bestFit="1" customWidth="1"/>
    <col min="8200" max="8200" width="12.875" style="12" bestFit="1" customWidth="1"/>
    <col min="8201" max="8202" width="9" style="12"/>
    <col min="8203" max="8203" width="11.5" style="12" customWidth="1"/>
    <col min="8204" max="8448" width="9" style="12"/>
    <col min="8449" max="8449" width="3.125" style="12" customWidth="1"/>
    <col min="8450" max="8452" width="9" style="12"/>
    <col min="8453" max="8453" width="11" style="12" bestFit="1" customWidth="1"/>
    <col min="8454" max="8454" width="12.875" style="12" bestFit="1" customWidth="1"/>
    <col min="8455" max="8455" width="13" style="12" bestFit="1" customWidth="1"/>
    <col min="8456" max="8456" width="12.875" style="12" bestFit="1" customWidth="1"/>
    <col min="8457" max="8458" width="9" style="12"/>
    <col min="8459" max="8459" width="11.5" style="12" customWidth="1"/>
    <col min="8460" max="8704" width="9" style="12"/>
    <col min="8705" max="8705" width="3.125" style="12" customWidth="1"/>
    <col min="8706" max="8708" width="9" style="12"/>
    <col min="8709" max="8709" width="11" style="12" bestFit="1" customWidth="1"/>
    <col min="8710" max="8710" width="12.875" style="12" bestFit="1" customWidth="1"/>
    <col min="8711" max="8711" width="13" style="12" bestFit="1" customWidth="1"/>
    <col min="8712" max="8712" width="12.875" style="12" bestFit="1" customWidth="1"/>
    <col min="8713" max="8714" width="9" style="12"/>
    <col min="8715" max="8715" width="11.5" style="12" customWidth="1"/>
    <col min="8716" max="8960" width="9" style="12"/>
    <col min="8961" max="8961" width="3.125" style="12" customWidth="1"/>
    <col min="8962" max="8964" width="9" style="12"/>
    <col min="8965" max="8965" width="11" style="12" bestFit="1" customWidth="1"/>
    <col min="8966" max="8966" width="12.875" style="12" bestFit="1" customWidth="1"/>
    <col min="8967" max="8967" width="13" style="12" bestFit="1" customWidth="1"/>
    <col min="8968" max="8968" width="12.875" style="12" bestFit="1" customWidth="1"/>
    <col min="8969" max="8970" width="9" style="12"/>
    <col min="8971" max="8971" width="11.5" style="12" customWidth="1"/>
    <col min="8972" max="9216" width="9" style="12"/>
    <col min="9217" max="9217" width="3.125" style="12" customWidth="1"/>
    <col min="9218" max="9220" width="9" style="12"/>
    <col min="9221" max="9221" width="11" style="12" bestFit="1" customWidth="1"/>
    <col min="9222" max="9222" width="12.875" style="12" bestFit="1" customWidth="1"/>
    <col min="9223" max="9223" width="13" style="12" bestFit="1" customWidth="1"/>
    <col min="9224" max="9224" width="12.875" style="12" bestFit="1" customWidth="1"/>
    <col min="9225" max="9226" width="9" style="12"/>
    <col min="9227" max="9227" width="11.5" style="12" customWidth="1"/>
    <col min="9228" max="9472" width="9" style="12"/>
    <col min="9473" max="9473" width="3.125" style="12" customWidth="1"/>
    <col min="9474" max="9476" width="9" style="12"/>
    <col min="9477" max="9477" width="11" style="12" bestFit="1" customWidth="1"/>
    <col min="9478" max="9478" width="12.875" style="12" bestFit="1" customWidth="1"/>
    <col min="9479" max="9479" width="13" style="12" bestFit="1" customWidth="1"/>
    <col min="9480" max="9480" width="12.875" style="12" bestFit="1" customWidth="1"/>
    <col min="9481" max="9482" width="9" style="12"/>
    <col min="9483" max="9483" width="11.5" style="12" customWidth="1"/>
    <col min="9484" max="9728" width="9" style="12"/>
    <col min="9729" max="9729" width="3.125" style="12" customWidth="1"/>
    <col min="9730" max="9732" width="9" style="12"/>
    <col min="9733" max="9733" width="11" style="12" bestFit="1" customWidth="1"/>
    <col min="9734" max="9734" width="12.875" style="12" bestFit="1" customWidth="1"/>
    <col min="9735" max="9735" width="13" style="12" bestFit="1" customWidth="1"/>
    <col min="9736" max="9736" width="12.875" style="12" bestFit="1" customWidth="1"/>
    <col min="9737" max="9738" width="9" style="12"/>
    <col min="9739" max="9739" width="11.5" style="12" customWidth="1"/>
    <col min="9740" max="9984" width="9" style="12"/>
    <col min="9985" max="9985" width="3.125" style="12" customWidth="1"/>
    <col min="9986" max="9988" width="9" style="12"/>
    <col min="9989" max="9989" width="11" style="12" bestFit="1" customWidth="1"/>
    <col min="9990" max="9990" width="12.875" style="12" bestFit="1" customWidth="1"/>
    <col min="9991" max="9991" width="13" style="12" bestFit="1" customWidth="1"/>
    <col min="9992" max="9992" width="12.875" style="12" bestFit="1" customWidth="1"/>
    <col min="9993" max="9994" width="9" style="12"/>
    <col min="9995" max="9995" width="11.5" style="12" customWidth="1"/>
    <col min="9996" max="10240" width="9" style="12"/>
    <col min="10241" max="10241" width="3.125" style="12" customWidth="1"/>
    <col min="10242" max="10244" width="9" style="12"/>
    <col min="10245" max="10245" width="11" style="12" bestFit="1" customWidth="1"/>
    <col min="10246" max="10246" width="12.875" style="12" bestFit="1" customWidth="1"/>
    <col min="10247" max="10247" width="13" style="12" bestFit="1" customWidth="1"/>
    <col min="10248" max="10248" width="12.875" style="12" bestFit="1" customWidth="1"/>
    <col min="10249" max="10250" width="9" style="12"/>
    <col min="10251" max="10251" width="11.5" style="12" customWidth="1"/>
    <col min="10252" max="10496" width="9" style="12"/>
    <col min="10497" max="10497" width="3.125" style="12" customWidth="1"/>
    <col min="10498" max="10500" width="9" style="12"/>
    <col min="10501" max="10501" width="11" style="12" bestFit="1" customWidth="1"/>
    <col min="10502" max="10502" width="12.875" style="12" bestFit="1" customWidth="1"/>
    <col min="10503" max="10503" width="13" style="12" bestFit="1" customWidth="1"/>
    <col min="10504" max="10504" width="12.875" style="12" bestFit="1" customWidth="1"/>
    <col min="10505" max="10506" width="9" style="12"/>
    <col min="10507" max="10507" width="11.5" style="12" customWidth="1"/>
    <col min="10508" max="10752" width="9" style="12"/>
    <col min="10753" max="10753" width="3.125" style="12" customWidth="1"/>
    <col min="10754" max="10756" width="9" style="12"/>
    <col min="10757" max="10757" width="11" style="12" bestFit="1" customWidth="1"/>
    <col min="10758" max="10758" width="12.875" style="12" bestFit="1" customWidth="1"/>
    <col min="10759" max="10759" width="13" style="12" bestFit="1" customWidth="1"/>
    <col min="10760" max="10760" width="12.875" style="12" bestFit="1" customWidth="1"/>
    <col min="10761" max="10762" width="9" style="12"/>
    <col min="10763" max="10763" width="11.5" style="12" customWidth="1"/>
    <col min="10764" max="11008" width="9" style="12"/>
    <col min="11009" max="11009" width="3.125" style="12" customWidth="1"/>
    <col min="11010" max="11012" width="9" style="12"/>
    <col min="11013" max="11013" width="11" style="12" bestFit="1" customWidth="1"/>
    <col min="11014" max="11014" width="12.875" style="12" bestFit="1" customWidth="1"/>
    <col min="11015" max="11015" width="13" style="12" bestFit="1" customWidth="1"/>
    <col min="11016" max="11016" width="12.875" style="12" bestFit="1" customWidth="1"/>
    <col min="11017" max="11018" width="9" style="12"/>
    <col min="11019" max="11019" width="11.5" style="12" customWidth="1"/>
    <col min="11020" max="11264" width="9" style="12"/>
    <col min="11265" max="11265" width="3.125" style="12" customWidth="1"/>
    <col min="11266" max="11268" width="9" style="12"/>
    <col min="11269" max="11269" width="11" style="12" bestFit="1" customWidth="1"/>
    <col min="11270" max="11270" width="12.875" style="12" bestFit="1" customWidth="1"/>
    <col min="11271" max="11271" width="13" style="12" bestFit="1" customWidth="1"/>
    <col min="11272" max="11272" width="12.875" style="12" bestFit="1" customWidth="1"/>
    <col min="11273" max="11274" width="9" style="12"/>
    <col min="11275" max="11275" width="11.5" style="12" customWidth="1"/>
    <col min="11276" max="11520" width="9" style="12"/>
    <col min="11521" max="11521" width="3.125" style="12" customWidth="1"/>
    <col min="11522" max="11524" width="9" style="12"/>
    <col min="11525" max="11525" width="11" style="12" bestFit="1" customWidth="1"/>
    <col min="11526" max="11526" width="12.875" style="12" bestFit="1" customWidth="1"/>
    <col min="11527" max="11527" width="13" style="12" bestFit="1" customWidth="1"/>
    <col min="11528" max="11528" width="12.875" style="12" bestFit="1" customWidth="1"/>
    <col min="11529" max="11530" width="9" style="12"/>
    <col min="11531" max="11531" width="11.5" style="12" customWidth="1"/>
    <col min="11532" max="11776" width="9" style="12"/>
    <col min="11777" max="11777" width="3.125" style="12" customWidth="1"/>
    <col min="11778" max="11780" width="9" style="12"/>
    <col min="11781" max="11781" width="11" style="12" bestFit="1" customWidth="1"/>
    <col min="11782" max="11782" width="12.875" style="12" bestFit="1" customWidth="1"/>
    <col min="11783" max="11783" width="13" style="12" bestFit="1" customWidth="1"/>
    <col min="11784" max="11784" width="12.875" style="12" bestFit="1" customWidth="1"/>
    <col min="11785" max="11786" width="9" style="12"/>
    <col min="11787" max="11787" width="11.5" style="12" customWidth="1"/>
    <col min="11788" max="12032" width="9" style="12"/>
    <col min="12033" max="12033" width="3.125" style="12" customWidth="1"/>
    <col min="12034" max="12036" width="9" style="12"/>
    <col min="12037" max="12037" width="11" style="12" bestFit="1" customWidth="1"/>
    <col min="12038" max="12038" width="12.875" style="12" bestFit="1" customWidth="1"/>
    <col min="12039" max="12039" width="13" style="12" bestFit="1" customWidth="1"/>
    <col min="12040" max="12040" width="12.875" style="12" bestFit="1" customWidth="1"/>
    <col min="12041" max="12042" width="9" style="12"/>
    <col min="12043" max="12043" width="11.5" style="12" customWidth="1"/>
    <col min="12044" max="12288" width="9" style="12"/>
    <col min="12289" max="12289" width="3.125" style="12" customWidth="1"/>
    <col min="12290" max="12292" width="9" style="12"/>
    <col min="12293" max="12293" width="11" style="12" bestFit="1" customWidth="1"/>
    <col min="12294" max="12294" width="12.875" style="12" bestFit="1" customWidth="1"/>
    <col min="12295" max="12295" width="13" style="12" bestFit="1" customWidth="1"/>
    <col min="12296" max="12296" width="12.875" style="12" bestFit="1" customWidth="1"/>
    <col min="12297" max="12298" width="9" style="12"/>
    <col min="12299" max="12299" width="11.5" style="12" customWidth="1"/>
    <col min="12300" max="12544" width="9" style="12"/>
    <col min="12545" max="12545" width="3.125" style="12" customWidth="1"/>
    <col min="12546" max="12548" width="9" style="12"/>
    <col min="12549" max="12549" width="11" style="12" bestFit="1" customWidth="1"/>
    <col min="12550" max="12550" width="12.875" style="12" bestFit="1" customWidth="1"/>
    <col min="12551" max="12551" width="13" style="12" bestFit="1" customWidth="1"/>
    <col min="12552" max="12552" width="12.875" style="12" bestFit="1" customWidth="1"/>
    <col min="12553" max="12554" width="9" style="12"/>
    <col min="12555" max="12555" width="11.5" style="12" customWidth="1"/>
    <col min="12556" max="12800" width="9" style="12"/>
    <col min="12801" max="12801" width="3.125" style="12" customWidth="1"/>
    <col min="12802" max="12804" width="9" style="12"/>
    <col min="12805" max="12805" width="11" style="12" bestFit="1" customWidth="1"/>
    <col min="12806" max="12806" width="12.875" style="12" bestFit="1" customWidth="1"/>
    <col min="12807" max="12807" width="13" style="12" bestFit="1" customWidth="1"/>
    <col min="12808" max="12808" width="12.875" style="12" bestFit="1" customWidth="1"/>
    <col min="12809" max="12810" width="9" style="12"/>
    <col min="12811" max="12811" width="11.5" style="12" customWidth="1"/>
    <col min="12812" max="13056" width="9" style="12"/>
    <col min="13057" max="13057" width="3.125" style="12" customWidth="1"/>
    <col min="13058" max="13060" width="9" style="12"/>
    <col min="13061" max="13061" width="11" style="12" bestFit="1" customWidth="1"/>
    <col min="13062" max="13062" width="12.875" style="12" bestFit="1" customWidth="1"/>
    <col min="13063" max="13063" width="13" style="12" bestFit="1" customWidth="1"/>
    <col min="13064" max="13064" width="12.875" style="12" bestFit="1" customWidth="1"/>
    <col min="13065" max="13066" width="9" style="12"/>
    <col min="13067" max="13067" width="11.5" style="12" customWidth="1"/>
    <col min="13068" max="13312" width="9" style="12"/>
    <col min="13313" max="13313" width="3.125" style="12" customWidth="1"/>
    <col min="13314" max="13316" width="9" style="12"/>
    <col min="13317" max="13317" width="11" style="12" bestFit="1" customWidth="1"/>
    <col min="13318" max="13318" width="12.875" style="12" bestFit="1" customWidth="1"/>
    <col min="13319" max="13319" width="13" style="12" bestFit="1" customWidth="1"/>
    <col min="13320" max="13320" width="12.875" style="12" bestFit="1" customWidth="1"/>
    <col min="13321" max="13322" width="9" style="12"/>
    <col min="13323" max="13323" width="11.5" style="12" customWidth="1"/>
    <col min="13324" max="13568" width="9" style="12"/>
    <col min="13569" max="13569" width="3.125" style="12" customWidth="1"/>
    <col min="13570" max="13572" width="9" style="12"/>
    <col min="13573" max="13573" width="11" style="12" bestFit="1" customWidth="1"/>
    <col min="13574" max="13574" width="12.875" style="12" bestFit="1" customWidth="1"/>
    <col min="13575" max="13575" width="13" style="12" bestFit="1" customWidth="1"/>
    <col min="13576" max="13576" width="12.875" style="12" bestFit="1" customWidth="1"/>
    <col min="13577" max="13578" width="9" style="12"/>
    <col min="13579" max="13579" width="11.5" style="12" customWidth="1"/>
    <col min="13580" max="13824" width="9" style="12"/>
    <col min="13825" max="13825" width="3.125" style="12" customWidth="1"/>
    <col min="13826" max="13828" width="9" style="12"/>
    <col min="13829" max="13829" width="11" style="12" bestFit="1" customWidth="1"/>
    <col min="13830" max="13830" width="12.875" style="12" bestFit="1" customWidth="1"/>
    <col min="13831" max="13831" width="13" style="12" bestFit="1" customWidth="1"/>
    <col min="13832" max="13832" width="12.875" style="12" bestFit="1" customWidth="1"/>
    <col min="13833" max="13834" width="9" style="12"/>
    <col min="13835" max="13835" width="11.5" style="12" customWidth="1"/>
    <col min="13836" max="14080" width="9" style="12"/>
    <col min="14081" max="14081" width="3.125" style="12" customWidth="1"/>
    <col min="14082" max="14084" width="9" style="12"/>
    <col min="14085" max="14085" width="11" style="12" bestFit="1" customWidth="1"/>
    <col min="14086" max="14086" width="12.875" style="12" bestFit="1" customWidth="1"/>
    <col min="14087" max="14087" width="13" style="12" bestFit="1" customWidth="1"/>
    <col min="14088" max="14088" width="12.875" style="12" bestFit="1" customWidth="1"/>
    <col min="14089" max="14090" width="9" style="12"/>
    <col min="14091" max="14091" width="11.5" style="12" customWidth="1"/>
    <col min="14092" max="14336" width="9" style="12"/>
    <col min="14337" max="14337" width="3.125" style="12" customWidth="1"/>
    <col min="14338" max="14340" width="9" style="12"/>
    <col min="14341" max="14341" width="11" style="12" bestFit="1" customWidth="1"/>
    <col min="14342" max="14342" width="12.875" style="12" bestFit="1" customWidth="1"/>
    <col min="14343" max="14343" width="13" style="12" bestFit="1" customWidth="1"/>
    <col min="14344" max="14344" width="12.875" style="12" bestFit="1" customWidth="1"/>
    <col min="14345" max="14346" width="9" style="12"/>
    <col min="14347" max="14347" width="11.5" style="12" customWidth="1"/>
    <col min="14348" max="14592" width="9" style="12"/>
    <col min="14593" max="14593" width="3.125" style="12" customWidth="1"/>
    <col min="14594" max="14596" width="9" style="12"/>
    <col min="14597" max="14597" width="11" style="12" bestFit="1" customWidth="1"/>
    <col min="14598" max="14598" width="12.875" style="12" bestFit="1" customWidth="1"/>
    <col min="14599" max="14599" width="13" style="12" bestFit="1" customWidth="1"/>
    <col min="14600" max="14600" width="12.875" style="12" bestFit="1" customWidth="1"/>
    <col min="14601" max="14602" width="9" style="12"/>
    <col min="14603" max="14603" width="11.5" style="12" customWidth="1"/>
    <col min="14604" max="14848" width="9" style="12"/>
    <col min="14849" max="14849" width="3.125" style="12" customWidth="1"/>
    <col min="14850" max="14852" width="9" style="12"/>
    <col min="14853" max="14853" width="11" style="12" bestFit="1" customWidth="1"/>
    <col min="14854" max="14854" width="12.875" style="12" bestFit="1" customWidth="1"/>
    <col min="14855" max="14855" width="13" style="12" bestFit="1" customWidth="1"/>
    <col min="14856" max="14856" width="12.875" style="12" bestFit="1" customWidth="1"/>
    <col min="14857" max="14858" width="9" style="12"/>
    <col min="14859" max="14859" width="11.5" style="12" customWidth="1"/>
    <col min="14860" max="15104" width="9" style="12"/>
    <col min="15105" max="15105" width="3.125" style="12" customWidth="1"/>
    <col min="15106" max="15108" width="9" style="12"/>
    <col min="15109" max="15109" width="11" style="12" bestFit="1" customWidth="1"/>
    <col min="15110" max="15110" width="12.875" style="12" bestFit="1" customWidth="1"/>
    <col min="15111" max="15111" width="13" style="12" bestFit="1" customWidth="1"/>
    <col min="15112" max="15112" width="12.875" style="12" bestFit="1" customWidth="1"/>
    <col min="15113" max="15114" width="9" style="12"/>
    <col min="15115" max="15115" width="11.5" style="12" customWidth="1"/>
    <col min="15116" max="15360" width="9" style="12"/>
    <col min="15361" max="15361" width="3.125" style="12" customWidth="1"/>
    <col min="15362" max="15364" width="9" style="12"/>
    <col min="15365" max="15365" width="11" style="12" bestFit="1" customWidth="1"/>
    <col min="15366" max="15366" width="12.875" style="12" bestFit="1" customWidth="1"/>
    <col min="15367" max="15367" width="13" style="12" bestFit="1" customWidth="1"/>
    <col min="15368" max="15368" width="12.875" style="12" bestFit="1" customWidth="1"/>
    <col min="15369" max="15370" width="9" style="12"/>
    <col min="15371" max="15371" width="11.5" style="12" customWidth="1"/>
    <col min="15372" max="15616" width="9" style="12"/>
    <col min="15617" max="15617" width="3.125" style="12" customWidth="1"/>
    <col min="15618" max="15620" width="9" style="12"/>
    <col min="15621" max="15621" width="11" style="12" bestFit="1" customWidth="1"/>
    <col min="15622" max="15622" width="12.875" style="12" bestFit="1" customWidth="1"/>
    <col min="15623" max="15623" width="13" style="12" bestFit="1" customWidth="1"/>
    <col min="15624" max="15624" width="12.875" style="12" bestFit="1" customWidth="1"/>
    <col min="15625" max="15626" width="9" style="12"/>
    <col min="15627" max="15627" width="11.5" style="12" customWidth="1"/>
    <col min="15628" max="15872" width="9" style="12"/>
    <col min="15873" max="15873" width="3.125" style="12" customWidth="1"/>
    <col min="15874" max="15876" width="9" style="12"/>
    <col min="15877" max="15877" width="11" style="12" bestFit="1" customWidth="1"/>
    <col min="15878" max="15878" width="12.875" style="12" bestFit="1" customWidth="1"/>
    <col min="15879" max="15879" width="13" style="12" bestFit="1" customWidth="1"/>
    <col min="15880" max="15880" width="12.875" style="12" bestFit="1" customWidth="1"/>
    <col min="15881" max="15882" width="9" style="12"/>
    <col min="15883" max="15883" width="11.5" style="12" customWidth="1"/>
    <col min="15884" max="16128" width="9" style="12"/>
    <col min="16129" max="16129" width="3.125" style="12" customWidth="1"/>
    <col min="16130" max="16132" width="9" style="12"/>
    <col min="16133" max="16133" width="11" style="12" bestFit="1" customWidth="1"/>
    <col min="16134" max="16134" width="12.875" style="12" bestFit="1" customWidth="1"/>
    <col min="16135" max="16135" width="13" style="12" bestFit="1" customWidth="1"/>
    <col min="16136" max="16136" width="12.875" style="12" bestFit="1" customWidth="1"/>
    <col min="16137" max="16138" width="9" style="12"/>
    <col min="16139" max="16139" width="11.5" style="12" customWidth="1"/>
    <col min="16140" max="16384" width="9" style="12"/>
  </cols>
  <sheetData>
    <row r="2" spans="1:18">
      <c r="B2" s="12" t="s">
        <v>0</v>
      </c>
    </row>
    <row r="3" spans="1:18" s="9" customFormat="1">
      <c r="A3" s="12"/>
      <c r="B3" s="1" t="s">
        <v>163</v>
      </c>
      <c r="C3" s="1" t="s">
        <v>164</v>
      </c>
      <c r="D3" s="1" t="s">
        <v>85</v>
      </c>
      <c r="E3" s="1" t="s">
        <v>84</v>
      </c>
      <c r="F3" s="1" t="s">
        <v>165</v>
      </c>
      <c r="G3" s="1" t="s">
        <v>166</v>
      </c>
      <c r="H3" s="10" t="s">
        <v>167</v>
      </c>
      <c r="I3" s="1" t="s">
        <v>168</v>
      </c>
      <c r="J3" s="1" t="s">
        <v>22</v>
      </c>
      <c r="K3" s="11" t="s">
        <v>168</v>
      </c>
      <c r="L3" s="1" t="s">
        <v>23</v>
      </c>
      <c r="M3" s="11" t="s">
        <v>24</v>
      </c>
    </row>
    <row r="4" spans="1:18">
      <c r="B4" s="14" t="s">
        <v>25</v>
      </c>
      <c r="C4" s="1" t="s">
        <v>26</v>
      </c>
      <c r="D4" s="1" t="s">
        <v>27</v>
      </c>
      <c r="E4" s="1" t="s">
        <v>169</v>
      </c>
      <c r="F4" s="16">
        <v>42765</v>
      </c>
      <c r="G4" s="14">
        <v>5</v>
      </c>
      <c r="H4" s="16">
        <f>DATE(YEAR(F4),MONTH(F4)+G4,DAY(F4))</f>
        <v>42916</v>
      </c>
      <c r="I4" s="17">
        <f>G4*5000</f>
        <v>25000</v>
      </c>
      <c r="J4" s="17">
        <f>I4*(1-VLOOKUP(D4,$J$26:$K$28,2,0))</f>
        <v>23250</v>
      </c>
      <c r="K4" s="17">
        <f>IF(B4="비회원",VLOOKUP(E4,$F$26:$H$34,2,FALSE)*0.2*G4,VLOOKUP(E4,$F$26:$H$34,3,FALSE)*G4)</f>
        <v>120000</v>
      </c>
      <c r="L4" s="14" t="s">
        <v>170</v>
      </c>
      <c r="M4" s="37">
        <f>Fn배송비(L4)</f>
        <v>2700</v>
      </c>
    </row>
    <row r="5" spans="1:18">
      <c r="B5" s="14" t="s">
        <v>171</v>
      </c>
      <c r="C5" s="1" t="s">
        <v>28</v>
      </c>
      <c r="D5" s="1" t="s">
        <v>29</v>
      </c>
      <c r="E5" s="1" t="s">
        <v>30</v>
      </c>
      <c r="F5" s="16">
        <v>42771</v>
      </c>
      <c r="G5" s="14">
        <v>4</v>
      </c>
      <c r="H5" s="16">
        <f t="shared" ref="H5:H22" si="0">DATE(YEAR(F5),MONTH(F5)+G5,DAY(F5))</f>
        <v>42891</v>
      </c>
      <c r="I5" s="17">
        <f t="shared" ref="I5:I22" si="1">G5*5000</f>
        <v>20000</v>
      </c>
      <c r="J5" s="17">
        <f t="shared" ref="J5:J22" si="2">I5*(1-VLOOKUP(D5,$J$26:$K$28,2,0))</f>
        <v>17600</v>
      </c>
      <c r="K5" s="17">
        <f t="shared" ref="K5:K22" si="3">IF(B5="비회원",VLOOKUP(E5,$F$26:$H$34,2,FALSE)*0.2*G5,VLOOKUP(E5,$F$26:$H$34,3,FALSE)*G5)</f>
        <v>32000</v>
      </c>
      <c r="L5" s="14" t="s">
        <v>172</v>
      </c>
      <c r="M5" s="37">
        <f t="shared" ref="M5:M22" si="4">Fn배송비(L5)</f>
        <v>0</v>
      </c>
    </row>
    <row r="6" spans="1:18">
      <c r="B6" s="14" t="s">
        <v>173</v>
      </c>
      <c r="C6" s="1" t="s">
        <v>31</v>
      </c>
      <c r="D6" s="1" t="s">
        <v>32</v>
      </c>
      <c r="E6" s="1" t="s">
        <v>33</v>
      </c>
      <c r="F6" s="16">
        <v>42798</v>
      </c>
      <c r="G6" s="14">
        <v>2</v>
      </c>
      <c r="H6" s="16">
        <f t="shared" si="0"/>
        <v>42859</v>
      </c>
      <c r="I6" s="17">
        <f t="shared" si="1"/>
        <v>10000</v>
      </c>
      <c r="J6" s="17">
        <f t="shared" si="2"/>
        <v>9800</v>
      </c>
      <c r="K6" s="17">
        <f t="shared" si="3"/>
        <v>30000</v>
      </c>
      <c r="L6" s="14" t="s">
        <v>174</v>
      </c>
      <c r="M6" s="37">
        <f t="shared" si="4"/>
        <v>4500</v>
      </c>
    </row>
    <row r="7" spans="1:18">
      <c r="B7" s="14" t="s">
        <v>175</v>
      </c>
      <c r="C7" s="1" t="s">
        <v>34</v>
      </c>
      <c r="D7" s="1" t="s">
        <v>27</v>
      </c>
      <c r="E7" s="1" t="s">
        <v>35</v>
      </c>
      <c r="F7" s="16">
        <v>42814</v>
      </c>
      <c r="G7" s="14">
        <v>1</v>
      </c>
      <c r="H7" s="16">
        <f t="shared" si="0"/>
        <v>42845</v>
      </c>
      <c r="I7" s="17">
        <f t="shared" si="1"/>
        <v>5000</v>
      </c>
      <c r="J7" s="17">
        <f t="shared" si="2"/>
        <v>4650</v>
      </c>
      <c r="K7" s="17">
        <f t="shared" si="3"/>
        <v>42000</v>
      </c>
      <c r="L7" s="14" t="s">
        <v>176</v>
      </c>
      <c r="M7" s="37">
        <f t="shared" si="4"/>
        <v>4500</v>
      </c>
    </row>
    <row r="8" spans="1:18">
      <c r="B8" s="14" t="s">
        <v>177</v>
      </c>
      <c r="C8" s="1" t="s">
        <v>36</v>
      </c>
      <c r="D8" s="1" t="s">
        <v>32</v>
      </c>
      <c r="E8" s="1" t="s">
        <v>178</v>
      </c>
      <c r="F8" s="16">
        <v>42826</v>
      </c>
      <c r="G8" s="14">
        <v>6</v>
      </c>
      <c r="H8" s="16">
        <f t="shared" si="0"/>
        <v>43009</v>
      </c>
      <c r="I8" s="17">
        <f t="shared" si="1"/>
        <v>30000</v>
      </c>
      <c r="J8" s="17">
        <f t="shared" si="2"/>
        <v>29400</v>
      </c>
      <c r="K8" s="17">
        <f t="shared" si="3"/>
        <v>72000</v>
      </c>
      <c r="L8" s="14" t="s">
        <v>179</v>
      </c>
      <c r="M8" s="37">
        <f t="shared" si="4"/>
        <v>0</v>
      </c>
    </row>
    <row r="9" spans="1:18">
      <c r="B9" s="14" t="s">
        <v>180</v>
      </c>
      <c r="C9" s="1" t="s">
        <v>28</v>
      </c>
      <c r="D9" s="1" t="s">
        <v>27</v>
      </c>
      <c r="E9" s="1" t="s">
        <v>33</v>
      </c>
      <c r="F9" s="16">
        <v>42835</v>
      </c>
      <c r="G9" s="14">
        <v>2</v>
      </c>
      <c r="H9" s="16">
        <f t="shared" si="0"/>
        <v>42896</v>
      </c>
      <c r="I9" s="17">
        <f t="shared" si="1"/>
        <v>10000</v>
      </c>
      <c r="J9" s="17">
        <f t="shared" si="2"/>
        <v>9300</v>
      </c>
      <c r="K9" s="17">
        <f t="shared" si="3"/>
        <v>30000</v>
      </c>
      <c r="L9" s="14" t="s">
        <v>181</v>
      </c>
      <c r="M9" s="37">
        <f t="shared" si="4"/>
        <v>2700</v>
      </c>
    </row>
    <row r="10" spans="1:18">
      <c r="B10" s="14" t="s">
        <v>182</v>
      </c>
      <c r="C10" s="1" t="s">
        <v>26</v>
      </c>
      <c r="D10" s="1" t="s">
        <v>32</v>
      </c>
      <c r="E10" s="1" t="s">
        <v>37</v>
      </c>
      <c r="F10" s="16">
        <v>42850</v>
      </c>
      <c r="G10" s="14">
        <v>3</v>
      </c>
      <c r="H10" s="16">
        <f t="shared" si="0"/>
        <v>42941</v>
      </c>
      <c r="I10" s="17">
        <f t="shared" si="1"/>
        <v>15000</v>
      </c>
      <c r="J10" s="17">
        <f t="shared" si="2"/>
        <v>14700</v>
      </c>
      <c r="K10" s="17">
        <f t="shared" si="3"/>
        <v>66000</v>
      </c>
      <c r="L10" s="14" t="s">
        <v>170</v>
      </c>
      <c r="M10" s="37">
        <f t="shared" si="4"/>
        <v>2700</v>
      </c>
    </row>
    <row r="11" spans="1:18">
      <c r="B11" s="14" t="s">
        <v>171</v>
      </c>
      <c r="C11" s="1" t="s">
        <v>38</v>
      </c>
      <c r="D11" s="1" t="s">
        <v>29</v>
      </c>
      <c r="E11" s="1" t="s">
        <v>30</v>
      </c>
      <c r="F11" s="16">
        <v>42857</v>
      </c>
      <c r="G11" s="14">
        <v>4</v>
      </c>
      <c r="H11" s="16">
        <f t="shared" si="0"/>
        <v>42980</v>
      </c>
      <c r="I11" s="17">
        <f t="shared" si="1"/>
        <v>20000</v>
      </c>
      <c r="J11" s="17">
        <f t="shared" si="2"/>
        <v>17600</v>
      </c>
      <c r="K11" s="17">
        <f t="shared" si="3"/>
        <v>32000</v>
      </c>
      <c r="L11" s="14" t="s">
        <v>183</v>
      </c>
      <c r="M11" s="37">
        <f t="shared" si="4"/>
        <v>2700</v>
      </c>
      <c r="R11" s="33"/>
    </row>
    <row r="12" spans="1:18">
      <c r="B12" s="14" t="s">
        <v>184</v>
      </c>
      <c r="C12" s="1" t="s">
        <v>28</v>
      </c>
      <c r="D12" s="1" t="s">
        <v>27</v>
      </c>
      <c r="E12" s="1" t="s">
        <v>39</v>
      </c>
      <c r="F12" s="16">
        <v>42863</v>
      </c>
      <c r="G12" s="14">
        <v>7</v>
      </c>
      <c r="H12" s="16">
        <f t="shared" si="0"/>
        <v>43077</v>
      </c>
      <c r="I12" s="17">
        <f t="shared" si="1"/>
        <v>35000</v>
      </c>
      <c r="J12" s="17">
        <f t="shared" si="2"/>
        <v>32549.999999999996</v>
      </c>
      <c r="K12" s="17">
        <f t="shared" si="3"/>
        <v>49000</v>
      </c>
      <c r="L12" s="14" t="s">
        <v>185</v>
      </c>
      <c r="M12" s="37">
        <f t="shared" si="4"/>
        <v>4500</v>
      </c>
    </row>
    <row r="13" spans="1:18">
      <c r="B13" s="14" t="s">
        <v>186</v>
      </c>
      <c r="C13" s="1" t="s">
        <v>40</v>
      </c>
      <c r="D13" s="1" t="s">
        <v>32</v>
      </c>
      <c r="E13" s="1" t="s">
        <v>37</v>
      </c>
      <c r="F13" s="16">
        <v>42872</v>
      </c>
      <c r="G13" s="14">
        <v>2</v>
      </c>
      <c r="H13" s="16">
        <f t="shared" si="0"/>
        <v>42933</v>
      </c>
      <c r="I13" s="17">
        <f t="shared" si="1"/>
        <v>10000</v>
      </c>
      <c r="J13" s="17">
        <f t="shared" si="2"/>
        <v>9800</v>
      </c>
      <c r="K13" s="17">
        <f t="shared" si="3"/>
        <v>22000</v>
      </c>
      <c r="L13" s="14" t="s">
        <v>187</v>
      </c>
      <c r="M13" s="37">
        <f t="shared" si="4"/>
        <v>0</v>
      </c>
    </row>
    <row r="14" spans="1:18">
      <c r="B14" s="14" t="s">
        <v>188</v>
      </c>
      <c r="C14" s="1" t="s">
        <v>41</v>
      </c>
      <c r="D14" s="1" t="s">
        <v>32</v>
      </c>
      <c r="E14" s="1" t="s">
        <v>189</v>
      </c>
      <c r="F14" s="16">
        <v>42889</v>
      </c>
      <c r="G14" s="14">
        <v>9</v>
      </c>
      <c r="H14" s="16">
        <f t="shared" si="0"/>
        <v>43162</v>
      </c>
      <c r="I14" s="17">
        <f t="shared" si="1"/>
        <v>45000</v>
      </c>
      <c r="J14" s="17">
        <f t="shared" si="2"/>
        <v>44100</v>
      </c>
      <c r="K14" s="17">
        <f t="shared" si="3"/>
        <v>108000</v>
      </c>
      <c r="L14" s="14" t="s">
        <v>190</v>
      </c>
      <c r="M14" s="37">
        <f t="shared" si="4"/>
        <v>0</v>
      </c>
    </row>
    <row r="15" spans="1:18">
      <c r="B15" s="14" t="s">
        <v>191</v>
      </c>
      <c r="C15" s="1" t="s">
        <v>42</v>
      </c>
      <c r="D15" s="1" t="s">
        <v>32</v>
      </c>
      <c r="E15" s="1" t="s">
        <v>43</v>
      </c>
      <c r="F15" s="16">
        <v>42897</v>
      </c>
      <c r="G15" s="14">
        <v>4</v>
      </c>
      <c r="H15" s="16">
        <f t="shared" si="0"/>
        <v>43019</v>
      </c>
      <c r="I15" s="17">
        <f t="shared" si="1"/>
        <v>20000</v>
      </c>
      <c r="J15" s="17">
        <f t="shared" si="2"/>
        <v>19600</v>
      </c>
      <c r="K15" s="17">
        <f t="shared" si="3"/>
        <v>16000</v>
      </c>
      <c r="L15" s="14" t="s">
        <v>192</v>
      </c>
      <c r="M15" s="37">
        <f t="shared" si="4"/>
        <v>4500</v>
      </c>
    </row>
    <row r="16" spans="1:18">
      <c r="B16" s="14" t="s">
        <v>193</v>
      </c>
      <c r="C16" s="1" t="s">
        <v>44</v>
      </c>
      <c r="D16" s="1" t="s">
        <v>27</v>
      </c>
      <c r="E16" s="1" t="s">
        <v>194</v>
      </c>
      <c r="F16" s="16">
        <v>42908</v>
      </c>
      <c r="G16" s="14">
        <v>2</v>
      </c>
      <c r="H16" s="16">
        <f t="shared" si="0"/>
        <v>42969</v>
      </c>
      <c r="I16" s="17">
        <f t="shared" si="1"/>
        <v>10000</v>
      </c>
      <c r="J16" s="17">
        <f t="shared" si="2"/>
        <v>9300</v>
      </c>
      <c r="K16" s="17">
        <f t="shared" si="3"/>
        <v>27200</v>
      </c>
      <c r="L16" s="14" t="s">
        <v>195</v>
      </c>
      <c r="M16" s="37">
        <f t="shared" si="4"/>
        <v>2700</v>
      </c>
    </row>
    <row r="17" spans="2:13">
      <c r="B17" s="14" t="s">
        <v>196</v>
      </c>
      <c r="C17" s="1" t="s">
        <v>45</v>
      </c>
      <c r="D17" s="1" t="s">
        <v>27</v>
      </c>
      <c r="E17" s="1" t="s">
        <v>30</v>
      </c>
      <c r="F17" s="16">
        <v>42920</v>
      </c>
      <c r="G17" s="14">
        <v>5</v>
      </c>
      <c r="H17" s="16">
        <f t="shared" si="0"/>
        <v>43073</v>
      </c>
      <c r="I17" s="17">
        <f t="shared" si="1"/>
        <v>25000</v>
      </c>
      <c r="J17" s="17">
        <f t="shared" si="2"/>
        <v>23250</v>
      </c>
      <c r="K17" s="17">
        <f t="shared" si="3"/>
        <v>80000</v>
      </c>
      <c r="L17" s="14" t="s">
        <v>197</v>
      </c>
      <c r="M17" s="37">
        <f t="shared" si="4"/>
        <v>2700</v>
      </c>
    </row>
    <row r="18" spans="2:13">
      <c r="B18" s="14" t="s">
        <v>198</v>
      </c>
      <c r="C18" s="1" t="s">
        <v>46</v>
      </c>
      <c r="D18" s="1" t="s">
        <v>29</v>
      </c>
      <c r="E18" s="1" t="s">
        <v>47</v>
      </c>
      <c r="F18" s="16">
        <v>42925</v>
      </c>
      <c r="G18" s="14">
        <v>3</v>
      </c>
      <c r="H18" s="16">
        <f t="shared" si="0"/>
        <v>43017</v>
      </c>
      <c r="I18" s="17">
        <f t="shared" si="1"/>
        <v>15000</v>
      </c>
      <c r="J18" s="17">
        <f t="shared" si="2"/>
        <v>13200</v>
      </c>
      <c r="K18" s="17">
        <f t="shared" si="3"/>
        <v>27000</v>
      </c>
      <c r="L18" s="14" t="s">
        <v>199</v>
      </c>
      <c r="M18" s="37">
        <f t="shared" si="4"/>
        <v>2700</v>
      </c>
    </row>
    <row r="19" spans="2:13">
      <c r="B19" s="14" t="s">
        <v>200</v>
      </c>
      <c r="C19" s="1" t="s">
        <v>28</v>
      </c>
      <c r="D19" s="1" t="s">
        <v>29</v>
      </c>
      <c r="E19" s="1" t="s">
        <v>201</v>
      </c>
      <c r="F19" s="16">
        <v>42930</v>
      </c>
      <c r="G19" s="14">
        <v>1</v>
      </c>
      <c r="H19" s="16">
        <f t="shared" si="0"/>
        <v>42961</v>
      </c>
      <c r="I19" s="17">
        <f t="shared" si="1"/>
        <v>5000</v>
      </c>
      <c r="J19" s="17">
        <f t="shared" si="2"/>
        <v>4400</v>
      </c>
      <c r="K19" s="17">
        <f t="shared" si="3"/>
        <v>6000</v>
      </c>
      <c r="L19" s="14" t="s">
        <v>185</v>
      </c>
      <c r="M19" s="37">
        <f t="shared" si="4"/>
        <v>4500</v>
      </c>
    </row>
    <row r="20" spans="2:13">
      <c r="B20" s="14" t="s">
        <v>173</v>
      </c>
      <c r="C20" s="1" t="s">
        <v>202</v>
      </c>
      <c r="D20" s="1" t="s">
        <v>27</v>
      </c>
      <c r="E20" s="1" t="s">
        <v>203</v>
      </c>
      <c r="F20" s="16">
        <v>42945</v>
      </c>
      <c r="G20" s="14">
        <v>2</v>
      </c>
      <c r="H20" s="16">
        <f t="shared" si="0"/>
        <v>43007</v>
      </c>
      <c r="I20" s="17">
        <f t="shared" si="1"/>
        <v>10000</v>
      </c>
      <c r="J20" s="17">
        <f t="shared" si="2"/>
        <v>9300</v>
      </c>
      <c r="K20" s="17">
        <f t="shared" si="3"/>
        <v>24000</v>
      </c>
      <c r="L20" s="14" t="s">
        <v>172</v>
      </c>
      <c r="M20" s="37">
        <f t="shared" si="4"/>
        <v>0</v>
      </c>
    </row>
    <row r="21" spans="2:13">
      <c r="B21" s="14" t="s">
        <v>186</v>
      </c>
      <c r="C21" s="1" t="s">
        <v>204</v>
      </c>
      <c r="D21" s="1" t="s">
        <v>27</v>
      </c>
      <c r="E21" s="1" t="s">
        <v>39</v>
      </c>
      <c r="F21" s="16">
        <v>42953</v>
      </c>
      <c r="G21" s="14">
        <v>3</v>
      </c>
      <c r="H21" s="16">
        <f t="shared" si="0"/>
        <v>43045</v>
      </c>
      <c r="I21" s="17">
        <f t="shared" si="1"/>
        <v>15000</v>
      </c>
      <c r="J21" s="17">
        <f t="shared" si="2"/>
        <v>13949.999999999998</v>
      </c>
      <c r="K21" s="17">
        <f t="shared" si="3"/>
        <v>21000</v>
      </c>
      <c r="L21" s="14" t="s">
        <v>185</v>
      </c>
      <c r="M21" s="37">
        <f t="shared" si="4"/>
        <v>4500</v>
      </c>
    </row>
    <row r="22" spans="2:13">
      <c r="B22" s="14" t="s">
        <v>173</v>
      </c>
      <c r="C22" s="1" t="s">
        <v>205</v>
      </c>
      <c r="D22" s="1" t="s">
        <v>32</v>
      </c>
      <c r="E22" s="1" t="s">
        <v>30</v>
      </c>
      <c r="F22" s="16">
        <v>42966</v>
      </c>
      <c r="G22" s="14">
        <v>8</v>
      </c>
      <c r="H22" s="16">
        <f t="shared" si="0"/>
        <v>43209</v>
      </c>
      <c r="I22" s="17">
        <f t="shared" si="1"/>
        <v>40000</v>
      </c>
      <c r="J22" s="17">
        <f t="shared" si="2"/>
        <v>39200</v>
      </c>
      <c r="K22" s="17">
        <f t="shared" si="3"/>
        <v>64000</v>
      </c>
      <c r="L22" s="14" t="s">
        <v>181</v>
      </c>
      <c r="M22" s="37">
        <f t="shared" si="4"/>
        <v>2700</v>
      </c>
    </row>
    <row r="24" spans="2:13">
      <c r="B24" s="12" t="s">
        <v>206</v>
      </c>
      <c r="C24" s="12" t="s">
        <v>207</v>
      </c>
      <c r="F24" s="12" t="s">
        <v>208</v>
      </c>
      <c r="G24" s="12" t="s">
        <v>209</v>
      </c>
      <c r="J24" s="12" t="s">
        <v>210</v>
      </c>
      <c r="K24" s="13" t="s">
        <v>211</v>
      </c>
    </row>
    <row r="25" spans="2:13">
      <c r="B25" s="1" t="s">
        <v>212</v>
      </c>
      <c r="C25" s="10" t="s">
        <v>213</v>
      </c>
      <c r="F25" s="1" t="s">
        <v>214</v>
      </c>
      <c r="G25" s="1" t="s">
        <v>215</v>
      </c>
      <c r="H25" s="1" t="s">
        <v>216</v>
      </c>
      <c r="J25" s="3" t="s">
        <v>217</v>
      </c>
      <c r="K25" s="17" t="s">
        <v>221</v>
      </c>
    </row>
    <row r="26" spans="2:13">
      <c r="B26" s="14" t="s">
        <v>181</v>
      </c>
      <c r="C26" s="14">
        <f t="array" ref="C26">SUM(IF(($B26=$L$4:$L$22)*($G$4:$G$22&gt;=2),1))</f>
        <v>8</v>
      </c>
      <c r="F26" s="1" t="s">
        <v>203</v>
      </c>
      <c r="G26" s="17">
        <v>120000</v>
      </c>
      <c r="H26" s="17">
        <v>12000</v>
      </c>
      <c r="J26" s="1" t="s">
        <v>222</v>
      </c>
      <c r="K26" s="18">
        <v>0.12</v>
      </c>
    </row>
    <row r="27" spans="2:13">
      <c r="B27" s="14" t="s">
        <v>185</v>
      </c>
      <c r="C27" s="14">
        <f t="array" ref="C27">SUM(IF(($B27=$L$4:$L$22)*($G$4:$G$22&gt;=2),1))</f>
        <v>4</v>
      </c>
      <c r="F27" s="1" t="s">
        <v>30</v>
      </c>
      <c r="G27" s="17">
        <v>80000</v>
      </c>
      <c r="H27" s="17">
        <v>8000</v>
      </c>
      <c r="J27" s="1" t="s">
        <v>223</v>
      </c>
      <c r="K27" s="18">
        <v>7.0000000000000007E-2</v>
      </c>
    </row>
    <row r="28" spans="2:13">
      <c r="B28" s="14" t="s">
        <v>172</v>
      </c>
      <c r="C28" s="14">
        <f t="array" ref="C28">SUM(IF(($B28=$L$4:$L$22)*($G$4:$G$22&gt;=2),1))</f>
        <v>5</v>
      </c>
      <c r="F28" s="1" t="s">
        <v>37</v>
      </c>
      <c r="G28" s="17">
        <v>110000</v>
      </c>
      <c r="H28" s="17">
        <v>11000</v>
      </c>
      <c r="J28" s="1" t="s">
        <v>224</v>
      </c>
      <c r="K28" s="18">
        <v>0.02</v>
      </c>
    </row>
    <row r="29" spans="2:13">
      <c r="F29" s="1" t="s">
        <v>47</v>
      </c>
      <c r="G29" s="17">
        <v>95000</v>
      </c>
      <c r="H29" s="17">
        <v>9000</v>
      </c>
      <c r="K29" s="12"/>
    </row>
    <row r="30" spans="2:13">
      <c r="F30" s="1" t="s">
        <v>43</v>
      </c>
      <c r="G30" s="17">
        <v>45000</v>
      </c>
      <c r="H30" s="17">
        <v>4000</v>
      </c>
    </row>
    <row r="31" spans="2:13">
      <c r="F31" s="1" t="s">
        <v>201</v>
      </c>
      <c r="G31" s="17">
        <v>68000</v>
      </c>
      <c r="H31" s="17">
        <v>6000</v>
      </c>
    </row>
    <row r="32" spans="2:13">
      <c r="F32" s="1" t="s">
        <v>39</v>
      </c>
      <c r="G32" s="17">
        <v>73000</v>
      </c>
      <c r="H32" s="17">
        <v>7000</v>
      </c>
    </row>
    <row r="33" spans="3:8">
      <c r="F33" s="1" t="s">
        <v>33</v>
      </c>
      <c r="G33" s="17">
        <v>150000</v>
      </c>
      <c r="H33" s="17">
        <v>15000</v>
      </c>
    </row>
    <row r="34" spans="3:8">
      <c r="F34" s="1" t="s">
        <v>35</v>
      </c>
      <c r="G34" s="17">
        <v>210000</v>
      </c>
      <c r="H34" s="17">
        <v>20000</v>
      </c>
    </row>
    <row r="36" spans="3:8">
      <c r="C36" s="12" t="s">
        <v>225</v>
      </c>
      <c r="D36" s="12" t="s">
        <v>226</v>
      </c>
    </row>
    <row r="37" spans="3:8">
      <c r="C37" s="14"/>
      <c r="D37" s="10" t="s">
        <v>227</v>
      </c>
      <c r="E37" s="10" t="s">
        <v>228</v>
      </c>
    </row>
    <row r="38" spans="3:8">
      <c r="C38" s="10" t="s">
        <v>222</v>
      </c>
      <c r="D38" s="17">
        <f t="array" ref="D38">AVERAGE(IF((MID($E$4:$E$22,3,2)=D$37)*($D$4:$D$22=$C38),$J$4:$J$22))</f>
        <v>16133.333333333334</v>
      </c>
      <c r="E38" s="17">
        <f t="array" ref="E38">AVERAGE(IF((MID($E$4:$E$22,3,2)=E$37)*($D$4:$D$22=$C38),$J$4:$J$22))</f>
        <v>4400</v>
      </c>
    </row>
    <row r="39" spans="3:8">
      <c r="C39" s="10" t="s">
        <v>223</v>
      </c>
      <c r="D39" s="17">
        <f t="array" ref="D39">AVERAGE(IF((MID($E$4:$E$22,3,2)=D$37)*($D$4:$D$22=$C39),$J$4:$J$22))</f>
        <v>18600</v>
      </c>
      <c r="E39" s="17">
        <f t="array" ref="E39">AVERAGE(IF((MID($E$4:$E$22,3,2)=E$37)*($D$4:$D$22=$C39),$J$4:$J$22))</f>
        <v>13950</v>
      </c>
    </row>
    <row r="40" spans="3:8">
      <c r="C40" s="10" t="s">
        <v>224</v>
      </c>
      <c r="D40" s="17">
        <f t="array" ref="D40">AVERAGE(IF((MID($E$4:$E$22,3,2)=D$37)*($D$4:$D$22=$C40),$J$4:$J$22))</f>
        <v>26133.333333333332</v>
      </c>
      <c r="E40" s="17">
        <f t="array" ref="E40">AVERAGE(IF((MID($E$4:$E$22,3,2)=E$37)*($D$4:$D$22=$C40),$J$4:$J$22))</f>
        <v>9800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8"/>
  <sheetViews>
    <sheetView workbookViewId="0">
      <selection activeCell="M18" sqref="M18"/>
    </sheetView>
  </sheetViews>
  <sheetFormatPr defaultColWidth="9" defaultRowHeight="16.5"/>
  <cols>
    <col min="1" max="1" width="7.125" style="12" bestFit="1" customWidth="1"/>
    <col min="2" max="3" width="9" style="12" bestFit="1" customWidth="1"/>
    <col min="4" max="4" width="11" style="12" bestFit="1" customWidth="1"/>
    <col min="5" max="5" width="17.875" style="12" bestFit="1" customWidth="1"/>
    <col min="6" max="6" width="11.125" style="12" bestFit="1" customWidth="1"/>
    <col min="7" max="7" width="9" style="12" bestFit="1" customWidth="1"/>
    <col min="8" max="8" width="10" style="12" bestFit="1" customWidth="1"/>
    <col min="9" max="9" width="9.375" style="12" bestFit="1" customWidth="1"/>
    <col min="10" max="10" width="11" style="12" bestFit="1" customWidth="1"/>
    <col min="11" max="11" width="9" style="12"/>
    <col min="12" max="12" width="15.25" style="12" bestFit="1" customWidth="1"/>
    <col min="13" max="13" width="11.25" style="12" customWidth="1"/>
    <col min="14" max="17" width="11.25" style="12" bestFit="1" customWidth="1"/>
    <col min="18" max="18" width="8.875" style="12" customWidth="1"/>
    <col min="19" max="16384" width="9" style="12"/>
  </cols>
  <sheetData>
    <row r="1" spans="1:18">
      <c r="A1" s="19" t="s">
        <v>229</v>
      </c>
      <c r="B1" s="19" t="s">
        <v>230</v>
      </c>
      <c r="C1" s="19" t="s">
        <v>231</v>
      </c>
      <c r="D1" s="19" t="s">
        <v>232</v>
      </c>
      <c r="E1" s="19" t="s">
        <v>233</v>
      </c>
      <c r="F1" s="19" t="s">
        <v>234</v>
      </c>
      <c r="G1" s="19" t="s">
        <v>235</v>
      </c>
      <c r="H1" s="19" t="s">
        <v>236</v>
      </c>
      <c r="I1" s="19" t="s">
        <v>237</v>
      </c>
      <c r="J1" s="19" t="s">
        <v>238</v>
      </c>
    </row>
    <row r="2" spans="1:18">
      <c r="A2" s="19" t="s">
        <v>239</v>
      </c>
      <c r="B2" s="19" t="s">
        <v>240</v>
      </c>
      <c r="C2" s="19" t="s">
        <v>29</v>
      </c>
      <c r="D2" s="19" t="s">
        <v>241</v>
      </c>
      <c r="E2" s="19" t="s">
        <v>242</v>
      </c>
      <c r="F2" s="20">
        <v>42740</v>
      </c>
      <c r="G2" s="19">
        <v>2</v>
      </c>
      <c r="H2" s="21">
        <v>5000</v>
      </c>
      <c r="I2" s="21">
        <v>10000</v>
      </c>
      <c r="J2" s="21">
        <v>1000</v>
      </c>
    </row>
    <row r="3" spans="1:18">
      <c r="A3" s="19" t="s">
        <v>243</v>
      </c>
      <c r="B3" s="19" t="s">
        <v>240</v>
      </c>
      <c r="C3" s="19" t="s">
        <v>27</v>
      </c>
      <c r="D3" s="19" t="s">
        <v>241</v>
      </c>
      <c r="E3" s="19" t="s">
        <v>244</v>
      </c>
      <c r="F3" s="20">
        <v>42767</v>
      </c>
      <c r="G3" s="19">
        <v>4</v>
      </c>
      <c r="H3" s="21">
        <v>10000</v>
      </c>
      <c r="I3" s="21">
        <v>40000</v>
      </c>
      <c r="J3" s="21">
        <v>4000</v>
      </c>
      <c r="L3" s="34" t="s">
        <v>230</v>
      </c>
      <c r="M3" t="s">
        <v>240</v>
      </c>
    </row>
    <row r="4" spans="1:18">
      <c r="A4" s="19" t="s">
        <v>245</v>
      </c>
      <c r="B4" s="19" t="s">
        <v>240</v>
      </c>
      <c r="C4" s="19" t="s">
        <v>32</v>
      </c>
      <c r="D4" s="19" t="s">
        <v>246</v>
      </c>
      <c r="E4" s="19" t="s">
        <v>247</v>
      </c>
      <c r="F4" s="20">
        <v>42792</v>
      </c>
      <c r="G4" s="19">
        <v>3</v>
      </c>
      <c r="H4" s="21">
        <v>10000</v>
      </c>
      <c r="I4" s="21">
        <v>30000</v>
      </c>
      <c r="J4" s="21">
        <v>3000</v>
      </c>
    </row>
    <row r="5" spans="1:18">
      <c r="A5" s="19" t="s">
        <v>248</v>
      </c>
      <c r="B5" s="19" t="s">
        <v>249</v>
      </c>
      <c r="C5" s="19" t="s">
        <v>32</v>
      </c>
      <c r="D5" s="19" t="s">
        <v>250</v>
      </c>
      <c r="E5" s="19" t="s">
        <v>251</v>
      </c>
      <c r="F5" s="20">
        <v>42769</v>
      </c>
      <c r="G5" s="19">
        <v>5</v>
      </c>
      <c r="H5" s="21">
        <v>35000</v>
      </c>
      <c r="I5" s="21">
        <v>175000</v>
      </c>
      <c r="J5" s="21">
        <v>17500</v>
      </c>
      <c r="L5" s="34" t="s">
        <v>351</v>
      </c>
      <c r="M5" s="34" t="s">
        <v>232</v>
      </c>
      <c r="N5"/>
      <c r="O5"/>
      <c r="P5"/>
      <c r="Q5"/>
      <c r="R5"/>
    </row>
    <row r="6" spans="1:18">
      <c r="A6" s="19" t="s">
        <v>252</v>
      </c>
      <c r="B6" s="19" t="s">
        <v>249</v>
      </c>
      <c r="C6" s="19" t="s">
        <v>32</v>
      </c>
      <c r="D6" s="19" t="s">
        <v>253</v>
      </c>
      <c r="E6" s="19" t="s">
        <v>254</v>
      </c>
      <c r="F6" s="20">
        <v>42803</v>
      </c>
      <c r="G6" s="19">
        <v>5</v>
      </c>
      <c r="H6" s="21">
        <v>15000</v>
      </c>
      <c r="I6" s="21">
        <v>75000</v>
      </c>
      <c r="J6" s="21">
        <v>7500</v>
      </c>
      <c r="L6" s="34" t="s">
        <v>234</v>
      </c>
      <c r="M6" t="s">
        <v>253</v>
      </c>
      <c r="N6" t="s">
        <v>257</v>
      </c>
      <c r="O6" t="s">
        <v>250</v>
      </c>
      <c r="P6" t="s">
        <v>246</v>
      </c>
      <c r="Q6" t="s">
        <v>241</v>
      </c>
      <c r="R6" t="s">
        <v>350</v>
      </c>
    </row>
    <row r="7" spans="1:18">
      <c r="A7" s="19" t="s">
        <v>255</v>
      </c>
      <c r="B7" s="19" t="s">
        <v>256</v>
      </c>
      <c r="C7" s="19" t="s">
        <v>29</v>
      </c>
      <c r="D7" s="19" t="s">
        <v>257</v>
      </c>
      <c r="E7" s="19" t="s">
        <v>258</v>
      </c>
      <c r="F7" s="20">
        <v>42819</v>
      </c>
      <c r="G7" s="19">
        <v>6</v>
      </c>
      <c r="H7" s="21">
        <v>10000</v>
      </c>
      <c r="I7" s="21">
        <v>60000</v>
      </c>
      <c r="J7" s="21">
        <v>6000</v>
      </c>
      <c r="L7" s="35" t="s">
        <v>352</v>
      </c>
      <c r="M7" s="36"/>
      <c r="N7" s="36"/>
      <c r="O7" s="36"/>
      <c r="P7" s="36"/>
      <c r="Q7" s="36">
        <v>10000</v>
      </c>
      <c r="R7" s="36">
        <v>10000</v>
      </c>
    </row>
    <row r="8" spans="1:18">
      <c r="A8" s="19" t="s">
        <v>259</v>
      </c>
      <c r="B8" s="19" t="s">
        <v>256</v>
      </c>
      <c r="C8" s="19" t="s">
        <v>32</v>
      </c>
      <c r="D8" s="19" t="s">
        <v>250</v>
      </c>
      <c r="E8" s="19" t="s">
        <v>260</v>
      </c>
      <c r="F8" s="20">
        <v>42826</v>
      </c>
      <c r="G8" s="19">
        <v>3</v>
      </c>
      <c r="H8" s="21">
        <v>10000</v>
      </c>
      <c r="I8" s="21">
        <v>30000</v>
      </c>
      <c r="J8" s="21">
        <v>3000</v>
      </c>
      <c r="L8" s="35" t="s">
        <v>353</v>
      </c>
      <c r="M8" s="36">
        <v>45000</v>
      </c>
      <c r="N8" s="36"/>
      <c r="O8" s="36"/>
      <c r="P8" s="36">
        <v>130000</v>
      </c>
      <c r="Q8" s="36">
        <v>40000</v>
      </c>
      <c r="R8" s="36">
        <v>215000</v>
      </c>
    </row>
    <row r="9" spans="1:18">
      <c r="A9" s="19" t="s">
        <v>261</v>
      </c>
      <c r="B9" s="19" t="s">
        <v>256</v>
      </c>
      <c r="C9" s="19" t="s">
        <v>27</v>
      </c>
      <c r="D9" s="19" t="s">
        <v>253</v>
      </c>
      <c r="E9" s="19" t="s">
        <v>262</v>
      </c>
      <c r="F9" s="20">
        <v>42840</v>
      </c>
      <c r="G9" s="19">
        <v>4</v>
      </c>
      <c r="H9" s="21">
        <v>10000</v>
      </c>
      <c r="I9" s="21">
        <v>40000</v>
      </c>
      <c r="J9" s="21">
        <v>4000</v>
      </c>
      <c r="L9" s="35" t="s">
        <v>354</v>
      </c>
      <c r="M9" s="36"/>
      <c r="N9" s="36"/>
      <c r="O9" s="36"/>
      <c r="P9" s="36">
        <v>60000</v>
      </c>
      <c r="Q9" s="36"/>
      <c r="R9" s="36">
        <v>60000</v>
      </c>
    </row>
    <row r="10" spans="1:18">
      <c r="A10" s="19" t="s">
        <v>263</v>
      </c>
      <c r="B10" s="19" t="s">
        <v>240</v>
      </c>
      <c r="C10" s="19" t="s">
        <v>29</v>
      </c>
      <c r="D10" s="19" t="s">
        <v>250</v>
      </c>
      <c r="E10" s="19" t="s">
        <v>264</v>
      </c>
      <c r="F10" s="20">
        <v>42845</v>
      </c>
      <c r="G10" s="19">
        <v>4</v>
      </c>
      <c r="H10" s="21">
        <v>10000</v>
      </c>
      <c r="I10" s="21">
        <v>40000</v>
      </c>
      <c r="J10" s="21">
        <v>4000</v>
      </c>
      <c r="L10" s="35" t="s">
        <v>355</v>
      </c>
      <c r="M10" s="36"/>
      <c r="N10" s="36">
        <v>20000</v>
      </c>
      <c r="O10" s="36">
        <v>65000</v>
      </c>
      <c r="P10" s="36">
        <v>60000</v>
      </c>
      <c r="Q10" s="36"/>
      <c r="R10" s="36">
        <v>145000</v>
      </c>
    </row>
    <row r="11" spans="1:18">
      <c r="A11" s="19" t="s">
        <v>265</v>
      </c>
      <c r="B11" s="19" t="s">
        <v>249</v>
      </c>
      <c r="C11" s="19" t="s">
        <v>29</v>
      </c>
      <c r="D11" s="19" t="s">
        <v>241</v>
      </c>
      <c r="E11" s="19" t="s">
        <v>266</v>
      </c>
      <c r="F11" s="20">
        <v>42847</v>
      </c>
      <c r="G11" s="19">
        <v>4</v>
      </c>
      <c r="H11" s="21">
        <v>10000</v>
      </c>
      <c r="I11" s="21">
        <v>40000</v>
      </c>
      <c r="J11" s="21">
        <v>4000</v>
      </c>
      <c r="L11" s="35" t="s">
        <v>356</v>
      </c>
      <c r="M11" s="36">
        <v>45000</v>
      </c>
      <c r="N11" s="36">
        <v>15000</v>
      </c>
      <c r="O11" s="36">
        <v>100000</v>
      </c>
      <c r="P11" s="36"/>
      <c r="Q11" s="36">
        <v>180000</v>
      </c>
      <c r="R11" s="36">
        <v>340000</v>
      </c>
    </row>
    <row r="12" spans="1:18">
      <c r="A12" s="19" t="s">
        <v>267</v>
      </c>
      <c r="B12" s="19" t="s">
        <v>240</v>
      </c>
      <c r="C12" s="19" t="s">
        <v>32</v>
      </c>
      <c r="D12" s="19" t="s">
        <v>257</v>
      </c>
      <c r="E12" s="19" t="s">
        <v>268</v>
      </c>
      <c r="F12" s="20">
        <v>42855</v>
      </c>
      <c r="G12" s="19">
        <v>2</v>
      </c>
      <c r="H12" s="21">
        <v>10000</v>
      </c>
      <c r="I12" s="21">
        <v>20000</v>
      </c>
      <c r="J12" s="21">
        <v>2000</v>
      </c>
      <c r="L12" s="35" t="s">
        <v>350</v>
      </c>
      <c r="M12" s="36">
        <v>90000</v>
      </c>
      <c r="N12" s="36">
        <v>35000</v>
      </c>
      <c r="O12" s="36">
        <v>165000</v>
      </c>
      <c r="P12" s="36">
        <v>250000</v>
      </c>
      <c r="Q12" s="36">
        <v>230000</v>
      </c>
      <c r="R12" s="36">
        <v>770000</v>
      </c>
    </row>
    <row r="13" spans="1:18">
      <c r="A13" s="19" t="s">
        <v>269</v>
      </c>
      <c r="B13" s="19" t="s">
        <v>249</v>
      </c>
      <c r="C13" s="19" t="s">
        <v>32</v>
      </c>
      <c r="D13" s="19" t="s">
        <v>246</v>
      </c>
      <c r="E13" s="19" t="s">
        <v>270</v>
      </c>
      <c r="F13" s="20">
        <v>42858</v>
      </c>
      <c r="G13" s="19">
        <v>3</v>
      </c>
      <c r="H13" s="21">
        <v>15000</v>
      </c>
      <c r="I13" s="21">
        <v>45000</v>
      </c>
      <c r="J13" s="21">
        <v>4500</v>
      </c>
      <c r="L13"/>
      <c r="M13"/>
      <c r="N13"/>
      <c r="O13"/>
      <c r="P13"/>
      <c r="Q13"/>
      <c r="R13"/>
    </row>
    <row r="14" spans="1:18">
      <c r="A14" s="19" t="s">
        <v>271</v>
      </c>
      <c r="B14" s="19" t="s">
        <v>256</v>
      </c>
      <c r="C14" s="19" t="s">
        <v>27</v>
      </c>
      <c r="D14" s="19" t="s">
        <v>241</v>
      </c>
      <c r="E14" s="19" t="s">
        <v>272</v>
      </c>
      <c r="F14" s="20">
        <v>42861</v>
      </c>
      <c r="G14" s="19">
        <v>5</v>
      </c>
      <c r="H14" s="21">
        <v>30000</v>
      </c>
      <c r="I14" s="21">
        <v>150000</v>
      </c>
      <c r="J14" s="21">
        <v>15000</v>
      </c>
      <c r="L14"/>
      <c r="M14"/>
      <c r="N14"/>
      <c r="O14"/>
      <c r="P14"/>
      <c r="Q14"/>
      <c r="R14"/>
    </row>
    <row r="15" spans="1:18">
      <c r="A15" s="19" t="s">
        <v>273</v>
      </c>
      <c r="B15" s="19" t="s">
        <v>240</v>
      </c>
      <c r="C15" s="19" t="s">
        <v>29</v>
      </c>
      <c r="D15" s="19" t="s">
        <v>241</v>
      </c>
      <c r="E15" s="19" t="s">
        <v>274</v>
      </c>
      <c r="F15" s="20">
        <v>42864</v>
      </c>
      <c r="G15" s="19">
        <v>3</v>
      </c>
      <c r="H15" s="21">
        <v>30000</v>
      </c>
      <c r="I15" s="21">
        <v>90000</v>
      </c>
      <c r="J15" s="21">
        <v>9000</v>
      </c>
      <c r="L15"/>
      <c r="M15"/>
      <c r="N15"/>
      <c r="O15"/>
      <c r="P15"/>
      <c r="Q15"/>
      <c r="R15"/>
    </row>
    <row r="16" spans="1:18">
      <c r="A16" s="19" t="s">
        <v>275</v>
      </c>
      <c r="B16" s="19" t="s">
        <v>240</v>
      </c>
      <c r="C16" s="19" t="s">
        <v>32</v>
      </c>
      <c r="D16" s="19" t="s">
        <v>250</v>
      </c>
      <c r="E16" s="19" t="s">
        <v>276</v>
      </c>
      <c r="F16" s="20">
        <v>42869</v>
      </c>
      <c r="G16" s="19">
        <v>4</v>
      </c>
      <c r="H16" s="21">
        <v>25000</v>
      </c>
      <c r="I16" s="21">
        <v>100000</v>
      </c>
      <c r="J16" s="21">
        <v>10000</v>
      </c>
      <c r="L16"/>
      <c r="M16"/>
      <c r="N16"/>
      <c r="O16"/>
      <c r="P16"/>
      <c r="Q16"/>
      <c r="R16"/>
    </row>
    <row r="17" spans="1:18">
      <c r="A17" s="19" t="s">
        <v>277</v>
      </c>
      <c r="B17" s="19" t="s">
        <v>240</v>
      </c>
      <c r="C17" s="19" t="s">
        <v>27</v>
      </c>
      <c r="D17" s="19" t="s">
        <v>253</v>
      </c>
      <c r="E17" s="19" t="s">
        <v>278</v>
      </c>
      <c r="F17" s="20">
        <v>42875</v>
      </c>
      <c r="G17" s="19">
        <v>3</v>
      </c>
      <c r="H17" s="21">
        <v>15000</v>
      </c>
      <c r="I17" s="21">
        <v>45000</v>
      </c>
      <c r="J17" s="21">
        <v>4500</v>
      </c>
      <c r="L17"/>
      <c r="M17"/>
      <c r="N17"/>
      <c r="O17"/>
      <c r="P17"/>
      <c r="Q17"/>
      <c r="R17"/>
    </row>
    <row r="18" spans="1:18">
      <c r="A18" s="19" t="s">
        <v>279</v>
      </c>
      <c r="B18" s="19" t="s">
        <v>249</v>
      </c>
      <c r="C18" s="19" t="s">
        <v>27</v>
      </c>
      <c r="D18" s="19" t="s">
        <v>257</v>
      </c>
      <c r="E18" s="19" t="s">
        <v>280</v>
      </c>
      <c r="F18" s="20">
        <v>42771</v>
      </c>
      <c r="G18" s="19">
        <v>2</v>
      </c>
      <c r="H18" s="21">
        <v>10000</v>
      </c>
      <c r="I18" s="21">
        <v>20000</v>
      </c>
      <c r="J18" s="21">
        <v>2000</v>
      </c>
      <c r="L18"/>
      <c r="M18"/>
      <c r="N18"/>
      <c r="O18"/>
      <c r="P18"/>
      <c r="Q18"/>
      <c r="R18"/>
    </row>
    <row r="19" spans="1:18">
      <c r="A19" s="19" t="s">
        <v>281</v>
      </c>
      <c r="B19" s="19" t="s">
        <v>240</v>
      </c>
      <c r="C19" s="19" t="s">
        <v>27</v>
      </c>
      <c r="D19" s="19" t="s">
        <v>253</v>
      </c>
      <c r="E19" s="19" t="s">
        <v>282</v>
      </c>
      <c r="F19" s="20">
        <v>42786</v>
      </c>
      <c r="G19" s="19">
        <v>3</v>
      </c>
      <c r="H19" s="21">
        <v>15000</v>
      </c>
      <c r="I19" s="21">
        <v>45000</v>
      </c>
      <c r="J19" s="21">
        <v>4500</v>
      </c>
      <c r="L19"/>
      <c r="M19"/>
      <c r="N19"/>
      <c r="O19"/>
      <c r="P19"/>
      <c r="Q19"/>
      <c r="R19"/>
    </row>
    <row r="20" spans="1:18">
      <c r="A20" s="19" t="s">
        <v>283</v>
      </c>
      <c r="B20" s="19" t="s">
        <v>240</v>
      </c>
      <c r="C20" s="19" t="s">
        <v>27</v>
      </c>
      <c r="D20" s="19" t="s">
        <v>246</v>
      </c>
      <c r="E20" s="19" t="s">
        <v>284</v>
      </c>
      <c r="F20" s="20">
        <v>42787</v>
      </c>
      <c r="G20" s="19">
        <v>5</v>
      </c>
      <c r="H20" s="21">
        <v>20000</v>
      </c>
      <c r="I20" s="21">
        <v>100000</v>
      </c>
      <c r="J20" s="21">
        <v>10000</v>
      </c>
      <c r="L20"/>
      <c r="M20"/>
      <c r="N20"/>
      <c r="O20"/>
      <c r="P20"/>
      <c r="Q20"/>
      <c r="R20"/>
    </row>
    <row r="21" spans="1:18">
      <c r="A21" s="19" t="s">
        <v>285</v>
      </c>
      <c r="B21" s="19" t="s">
        <v>249</v>
      </c>
      <c r="C21" s="19" t="s">
        <v>32</v>
      </c>
      <c r="D21" s="19" t="s">
        <v>250</v>
      </c>
      <c r="E21" s="19" t="s">
        <v>286</v>
      </c>
      <c r="F21" s="20">
        <v>42795</v>
      </c>
      <c r="G21" s="19">
        <v>5</v>
      </c>
      <c r="H21" s="21">
        <v>15000</v>
      </c>
      <c r="I21" s="21">
        <v>75000</v>
      </c>
      <c r="J21" s="21">
        <v>7500</v>
      </c>
      <c r="L21"/>
      <c r="M21"/>
      <c r="N21"/>
      <c r="O21"/>
      <c r="P21"/>
      <c r="Q21"/>
      <c r="R21"/>
    </row>
    <row r="22" spans="1:18">
      <c r="A22" s="19" t="s">
        <v>287</v>
      </c>
      <c r="B22" s="19" t="s">
        <v>240</v>
      </c>
      <c r="C22" s="19" t="s">
        <v>29</v>
      </c>
      <c r="D22" s="19" t="s">
        <v>246</v>
      </c>
      <c r="E22" s="19" t="s">
        <v>288</v>
      </c>
      <c r="F22" s="20">
        <v>42798</v>
      </c>
      <c r="G22" s="19">
        <v>4</v>
      </c>
      <c r="H22" s="21">
        <v>10000</v>
      </c>
      <c r="I22" s="21">
        <v>40000</v>
      </c>
      <c r="J22" s="21">
        <v>4000</v>
      </c>
      <c r="L22"/>
      <c r="M22"/>
      <c r="N22"/>
      <c r="O22"/>
      <c r="P22"/>
      <c r="Q22"/>
      <c r="R22"/>
    </row>
    <row r="23" spans="1:18">
      <c r="A23" s="19" t="s">
        <v>289</v>
      </c>
      <c r="B23" s="19" t="s">
        <v>249</v>
      </c>
      <c r="C23" s="19" t="s">
        <v>27</v>
      </c>
      <c r="D23" s="19" t="s">
        <v>257</v>
      </c>
      <c r="E23" s="19" t="s">
        <v>290</v>
      </c>
      <c r="F23" s="20">
        <v>42810</v>
      </c>
      <c r="G23" s="19">
        <v>3</v>
      </c>
      <c r="H23" s="21">
        <v>10000</v>
      </c>
      <c r="I23" s="21">
        <v>30000</v>
      </c>
      <c r="J23" s="21">
        <v>3000</v>
      </c>
      <c r="L23"/>
      <c r="M23"/>
      <c r="N23"/>
      <c r="O23"/>
      <c r="P23"/>
      <c r="Q23"/>
      <c r="R23"/>
    </row>
    <row r="24" spans="1:18">
      <c r="A24" s="19" t="s">
        <v>291</v>
      </c>
      <c r="B24" s="19" t="s">
        <v>240</v>
      </c>
      <c r="C24" s="19" t="s">
        <v>27</v>
      </c>
      <c r="D24" s="19" t="s">
        <v>246</v>
      </c>
      <c r="E24" s="19" t="s">
        <v>247</v>
      </c>
      <c r="F24" s="20">
        <v>42824</v>
      </c>
      <c r="G24" s="19">
        <v>2</v>
      </c>
      <c r="H24" s="21">
        <v>10000</v>
      </c>
      <c r="I24" s="21">
        <v>20000</v>
      </c>
      <c r="J24" s="21">
        <v>2000</v>
      </c>
      <c r="L24"/>
      <c r="M24"/>
      <c r="N24"/>
      <c r="O24"/>
      <c r="P24"/>
      <c r="Q24"/>
      <c r="R24"/>
    </row>
    <row r="25" spans="1:18">
      <c r="A25" s="19" t="s">
        <v>292</v>
      </c>
      <c r="B25" s="19" t="s">
        <v>256</v>
      </c>
      <c r="C25" s="19" t="s">
        <v>27</v>
      </c>
      <c r="D25" s="19" t="s">
        <v>250</v>
      </c>
      <c r="E25" s="19" t="s">
        <v>293</v>
      </c>
      <c r="F25" s="20">
        <v>42827</v>
      </c>
      <c r="G25" s="19">
        <v>1</v>
      </c>
      <c r="H25" s="21">
        <v>10000</v>
      </c>
      <c r="I25" s="21">
        <v>10000</v>
      </c>
      <c r="J25" s="21">
        <v>1000</v>
      </c>
      <c r="L25"/>
      <c r="M25"/>
      <c r="N25"/>
      <c r="O25"/>
      <c r="P25"/>
      <c r="Q25"/>
      <c r="R25"/>
    </row>
    <row r="26" spans="1:18">
      <c r="A26" s="19" t="s">
        <v>294</v>
      </c>
      <c r="B26" s="19" t="s">
        <v>240</v>
      </c>
      <c r="C26" s="19" t="s">
        <v>32</v>
      </c>
      <c r="D26" s="19" t="s">
        <v>250</v>
      </c>
      <c r="E26" s="19" t="s">
        <v>295</v>
      </c>
      <c r="F26" s="20">
        <v>42831</v>
      </c>
      <c r="G26" s="19">
        <v>2</v>
      </c>
      <c r="H26" s="21">
        <v>5000</v>
      </c>
      <c r="I26" s="21">
        <v>10000</v>
      </c>
      <c r="J26" s="21">
        <v>1000</v>
      </c>
      <c r="L26"/>
      <c r="M26"/>
      <c r="N26"/>
      <c r="O26"/>
      <c r="P26"/>
      <c r="Q26"/>
      <c r="R26"/>
    </row>
    <row r="27" spans="1:18">
      <c r="A27" s="19" t="s">
        <v>296</v>
      </c>
      <c r="B27" s="19" t="s">
        <v>256</v>
      </c>
      <c r="C27" s="19" t="s">
        <v>27</v>
      </c>
      <c r="D27" s="19" t="s">
        <v>257</v>
      </c>
      <c r="E27" s="19" t="s">
        <v>297</v>
      </c>
      <c r="F27" s="20">
        <v>42839</v>
      </c>
      <c r="G27" s="19">
        <v>5</v>
      </c>
      <c r="H27" s="21">
        <v>5000</v>
      </c>
      <c r="I27" s="21">
        <v>25000</v>
      </c>
      <c r="J27" s="21">
        <v>2500</v>
      </c>
      <c r="L27"/>
      <c r="M27"/>
      <c r="N27"/>
      <c r="O27"/>
      <c r="P27"/>
      <c r="Q27"/>
      <c r="R27"/>
    </row>
    <row r="28" spans="1:18">
      <c r="A28" s="19" t="s">
        <v>298</v>
      </c>
      <c r="B28" s="19" t="s">
        <v>240</v>
      </c>
      <c r="C28" s="19" t="s">
        <v>27</v>
      </c>
      <c r="D28" s="19" t="s">
        <v>246</v>
      </c>
      <c r="E28" s="19" t="s">
        <v>284</v>
      </c>
      <c r="F28" s="20">
        <v>42843</v>
      </c>
      <c r="G28" s="19">
        <v>3</v>
      </c>
      <c r="H28" s="21">
        <v>20000</v>
      </c>
      <c r="I28" s="21">
        <v>60000</v>
      </c>
      <c r="J28" s="21">
        <v>6000</v>
      </c>
      <c r="L28"/>
      <c r="M28"/>
      <c r="N28"/>
      <c r="O28"/>
      <c r="P28"/>
      <c r="Q28"/>
      <c r="R28"/>
    </row>
    <row r="29" spans="1:18">
      <c r="A29" s="19" t="s">
        <v>299</v>
      </c>
      <c r="B29" s="19" t="s">
        <v>240</v>
      </c>
      <c r="C29" s="19" t="s">
        <v>32</v>
      </c>
      <c r="D29" s="19" t="s">
        <v>250</v>
      </c>
      <c r="E29" s="19" t="s">
        <v>300</v>
      </c>
      <c r="F29" s="20">
        <v>42845</v>
      </c>
      <c r="G29" s="19">
        <v>3</v>
      </c>
      <c r="H29" s="21">
        <v>5000</v>
      </c>
      <c r="I29" s="21">
        <v>15000</v>
      </c>
      <c r="J29" s="21">
        <v>1500</v>
      </c>
      <c r="L29"/>
      <c r="M29"/>
      <c r="N29"/>
      <c r="O29"/>
      <c r="P29"/>
      <c r="Q29"/>
      <c r="R29"/>
    </row>
    <row r="30" spans="1:18">
      <c r="A30" s="19" t="s">
        <v>301</v>
      </c>
      <c r="B30" s="19" t="s">
        <v>249</v>
      </c>
      <c r="C30" s="19" t="s">
        <v>27</v>
      </c>
      <c r="D30" s="19" t="s">
        <v>250</v>
      </c>
      <c r="E30" s="19" t="s">
        <v>264</v>
      </c>
      <c r="F30" s="20">
        <v>42855</v>
      </c>
      <c r="G30" s="19">
        <v>3</v>
      </c>
      <c r="H30" s="21">
        <v>10000</v>
      </c>
      <c r="I30" s="21">
        <v>30000</v>
      </c>
      <c r="J30" s="21">
        <v>3000</v>
      </c>
      <c r="L30"/>
      <c r="M30"/>
      <c r="N30"/>
      <c r="O30"/>
      <c r="P30"/>
      <c r="Q30"/>
      <c r="R30"/>
    </row>
    <row r="31" spans="1:18">
      <c r="A31" s="19" t="s">
        <v>302</v>
      </c>
      <c r="B31" s="19" t="s">
        <v>240</v>
      </c>
      <c r="C31" s="19" t="s">
        <v>29</v>
      </c>
      <c r="D31" s="19" t="s">
        <v>241</v>
      </c>
      <c r="E31" s="19" t="s">
        <v>303</v>
      </c>
      <c r="F31" s="20">
        <v>42858</v>
      </c>
      <c r="G31" s="19">
        <v>3</v>
      </c>
      <c r="H31" s="21">
        <v>30000</v>
      </c>
      <c r="I31" s="21">
        <v>90000</v>
      </c>
      <c r="J31" s="21">
        <v>9000</v>
      </c>
      <c r="L31"/>
      <c r="M31"/>
      <c r="N31"/>
      <c r="O31"/>
      <c r="P31"/>
      <c r="Q31"/>
      <c r="R31"/>
    </row>
    <row r="32" spans="1:18">
      <c r="A32" s="19" t="s">
        <v>304</v>
      </c>
      <c r="B32" s="19" t="s">
        <v>249</v>
      </c>
      <c r="C32" s="19" t="s">
        <v>32</v>
      </c>
      <c r="D32" s="19" t="s">
        <v>246</v>
      </c>
      <c r="E32" s="19" t="s">
        <v>305</v>
      </c>
      <c r="F32" s="20">
        <v>42865</v>
      </c>
      <c r="G32" s="19">
        <v>4</v>
      </c>
      <c r="H32" s="21">
        <v>20000</v>
      </c>
      <c r="I32" s="21">
        <v>80000</v>
      </c>
      <c r="J32" s="21">
        <v>8000</v>
      </c>
      <c r="L32"/>
      <c r="M32"/>
      <c r="N32"/>
      <c r="O32"/>
      <c r="P32"/>
      <c r="Q32"/>
      <c r="R32"/>
    </row>
    <row r="33" spans="1:18">
      <c r="A33" s="19" t="s">
        <v>306</v>
      </c>
      <c r="B33" s="19" t="s">
        <v>256</v>
      </c>
      <c r="C33" s="19" t="s">
        <v>27</v>
      </c>
      <c r="D33" s="19" t="s">
        <v>250</v>
      </c>
      <c r="E33" s="19" t="s">
        <v>293</v>
      </c>
      <c r="F33" s="20">
        <v>42870</v>
      </c>
      <c r="G33" s="19">
        <v>4</v>
      </c>
      <c r="H33" s="21">
        <v>10000</v>
      </c>
      <c r="I33" s="21">
        <v>40000</v>
      </c>
      <c r="J33" s="21">
        <v>4000</v>
      </c>
      <c r="L33"/>
      <c r="M33"/>
      <c r="N33"/>
      <c r="O33"/>
      <c r="P33"/>
      <c r="Q33"/>
      <c r="R33"/>
    </row>
    <row r="34" spans="1:18">
      <c r="A34" s="19" t="s">
        <v>307</v>
      </c>
      <c r="B34" s="19" t="s">
        <v>240</v>
      </c>
      <c r="C34" s="19" t="s">
        <v>29</v>
      </c>
      <c r="D34" s="19" t="s">
        <v>257</v>
      </c>
      <c r="E34" s="19" t="s">
        <v>308</v>
      </c>
      <c r="F34" s="20">
        <v>42880</v>
      </c>
      <c r="G34" s="19">
        <v>3</v>
      </c>
      <c r="H34" s="21">
        <v>5000</v>
      </c>
      <c r="I34" s="21">
        <v>15000</v>
      </c>
      <c r="J34" s="21">
        <v>1500</v>
      </c>
      <c r="L34"/>
      <c r="M34"/>
      <c r="N34"/>
      <c r="O34"/>
      <c r="P34"/>
      <c r="Q34"/>
      <c r="R34"/>
    </row>
    <row r="35" spans="1:18">
      <c r="A35" s="19" t="s">
        <v>309</v>
      </c>
      <c r="B35" s="19" t="s">
        <v>249</v>
      </c>
      <c r="C35" s="19" t="s">
        <v>27</v>
      </c>
      <c r="D35" s="19" t="s">
        <v>253</v>
      </c>
      <c r="E35" s="19" t="s">
        <v>310</v>
      </c>
      <c r="F35" s="20">
        <v>42886</v>
      </c>
      <c r="G35" s="19">
        <v>1</v>
      </c>
      <c r="H35" s="21">
        <v>15000</v>
      </c>
      <c r="I35" s="21">
        <v>15000</v>
      </c>
      <c r="J35" s="21">
        <v>1500</v>
      </c>
      <c r="L35"/>
      <c r="M35"/>
      <c r="N35"/>
      <c r="O35"/>
      <c r="P35"/>
      <c r="Q35"/>
      <c r="R35"/>
    </row>
    <row r="36" spans="1:18">
      <c r="L36"/>
      <c r="M36"/>
      <c r="N36"/>
      <c r="O36"/>
      <c r="P36"/>
      <c r="Q36"/>
      <c r="R36"/>
    </row>
    <row r="37" spans="1:18">
      <c r="L37"/>
      <c r="M37"/>
      <c r="N37"/>
      <c r="O37"/>
      <c r="P37"/>
      <c r="Q37"/>
      <c r="R37"/>
    </row>
    <row r="38" spans="1:18">
      <c r="L38"/>
      <c r="M38"/>
      <c r="N38"/>
      <c r="O38"/>
      <c r="P38"/>
      <c r="Q38"/>
      <c r="R38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5:I28"/>
  <sheetViews>
    <sheetView workbookViewId="0">
      <selection activeCell="K19" sqref="K19"/>
    </sheetView>
  </sheetViews>
  <sheetFormatPr defaultRowHeight="16.5"/>
  <cols>
    <col min="1" max="1" width="7.375" style="12" bestFit="1" customWidth="1"/>
    <col min="2" max="2" width="9.25" style="12" bestFit="1" customWidth="1"/>
    <col min="3" max="3" width="12.875" style="12" bestFit="1" customWidth="1"/>
    <col min="4" max="4" width="9.25" style="12" bestFit="1" customWidth="1"/>
    <col min="5" max="5" width="12.875" style="12" bestFit="1" customWidth="1"/>
    <col min="6" max="6" width="18" style="12" bestFit="1" customWidth="1"/>
    <col min="7" max="7" width="11.75" style="12" bestFit="1" customWidth="1"/>
    <col min="8" max="8" width="13" style="12" bestFit="1" customWidth="1"/>
    <col min="9" max="9" width="11.125" style="12" bestFit="1" customWidth="1"/>
    <col min="10" max="256" width="9" style="12"/>
    <col min="257" max="257" width="7.375" style="12" bestFit="1" customWidth="1"/>
    <col min="258" max="258" width="9.25" style="12" bestFit="1" customWidth="1"/>
    <col min="259" max="259" width="12.875" style="12" bestFit="1" customWidth="1"/>
    <col min="260" max="260" width="9.25" style="12" bestFit="1" customWidth="1"/>
    <col min="261" max="261" width="12.875" style="12" bestFit="1" customWidth="1"/>
    <col min="262" max="262" width="18" style="12" bestFit="1" customWidth="1"/>
    <col min="263" max="263" width="11.75" style="12" bestFit="1" customWidth="1"/>
    <col min="264" max="264" width="13" style="12" bestFit="1" customWidth="1"/>
    <col min="265" max="265" width="11.125" style="12" bestFit="1" customWidth="1"/>
    <col min="266" max="512" width="9" style="12"/>
    <col min="513" max="513" width="7.375" style="12" bestFit="1" customWidth="1"/>
    <col min="514" max="514" width="9.25" style="12" bestFit="1" customWidth="1"/>
    <col min="515" max="515" width="12.875" style="12" bestFit="1" customWidth="1"/>
    <col min="516" max="516" width="9.25" style="12" bestFit="1" customWidth="1"/>
    <col min="517" max="517" width="12.875" style="12" bestFit="1" customWidth="1"/>
    <col min="518" max="518" width="18" style="12" bestFit="1" customWidth="1"/>
    <col min="519" max="519" width="11.75" style="12" bestFit="1" customWidth="1"/>
    <col min="520" max="520" width="13" style="12" bestFit="1" customWidth="1"/>
    <col min="521" max="521" width="11.125" style="12" bestFit="1" customWidth="1"/>
    <col min="522" max="768" width="9" style="12"/>
    <col min="769" max="769" width="7.375" style="12" bestFit="1" customWidth="1"/>
    <col min="770" max="770" width="9.25" style="12" bestFit="1" customWidth="1"/>
    <col min="771" max="771" width="12.875" style="12" bestFit="1" customWidth="1"/>
    <col min="772" max="772" width="9.25" style="12" bestFit="1" customWidth="1"/>
    <col min="773" max="773" width="12.875" style="12" bestFit="1" customWidth="1"/>
    <col min="774" max="774" width="18" style="12" bestFit="1" customWidth="1"/>
    <col min="775" max="775" width="11.75" style="12" bestFit="1" customWidth="1"/>
    <col min="776" max="776" width="13" style="12" bestFit="1" customWidth="1"/>
    <col min="777" max="777" width="11.125" style="12" bestFit="1" customWidth="1"/>
    <col min="778" max="1024" width="9" style="12"/>
    <col min="1025" max="1025" width="7.375" style="12" bestFit="1" customWidth="1"/>
    <col min="1026" max="1026" width="9.25" style="12" bestFit="1" customWidth="1"/>
    <col min="1027" max="1027" width="12.875" style="12" bestFit="1" customWidth="1"/>
    <col min="1028" max="1028" width="9.25" style="12" bestFit="1" customWidth="1"/>
    <col min="1029" max="1029" width="12.875" style="12" bestFit="1" customWidth="1"/>
    <col min="1030" max="1030" width="18" style="12" bestFit="1" customWidth="1"/>
    <col min="1031" max="1031" width="11.75" style="12" bestFit="1" customWidth="1"/>
    <col min="1032" max="1032" width="13" style="12" bestFit="1" customWidth="1"/>
    <col min="1033" max="1033" width="11.125" style="12" bestFit="1" customWidth="1"/>
    <col min="1034" max="1280" width="9" style="12"/>
    <col min="1281" max="1281" width="7.375" style="12" bestFit="1" customWidth="1"/>
    <col min="1282" max="1282" width="9.25" style="12" bestFit="1" customWidth="1"/>
    <col min="1283" max="1283" width="12.875" style="12" bestFit="1" customWidth="1"/>
    <col min="1284" max="1284" width="9.25" style="12" bestFit="1" customWidth="1"/>
    <col min="1285" max="1285" width="12.875" style="12" bestFit="1" customWidth="1"/>
    <col min="1286" max="1286" width="18" style="12" bestFit="1" customWidth="1"/>
    <col min="1287" max="1287" width="11.75" style="12" bestFit="1" customWidth="1"/>
    <col min="1288" max="1288" width="13" style="12" bestFit="1" customWidth="1"/>
    <col min="1289" max="1289" width="11.125" style="12" bestFit="1" customWidth="1"/>
    <col min="1290" max="1536" width="9" style="12"/>
    <col min="1537" max="1537" width="7.375" style="12" bestFit="1" customWidth="1"/>
    <col min="1538" max="1538" width="9.25" style="12" bestFit="1" customWidth="1"/>
    <col min="1539" max="1539" width="12.875" style="12" bestFit="1" customWidth="1"/>
    <col min="1540" max="1540" width="9.25" style="12" bestFit="1" customWidth="1"/>
    <col min="1541" max="1541" width="12.875" style="12" bestFit="1" customWidth="1"/>
    <col min="1542" max="1542" width="18" style="12" bestFit="1" customWidth="1"/>
    <col min="1543" max="1543" width="11.75" style="12" bestFit="1" customWidth="1"/>
    <col min="1544" max="1544" width="13" style="12" bestFit="1" customWidth="1"/>
    <col min="1545" max="1545" width="11.125" style="12" bestFit="1" customWidth="1"/>
    <col min="1546" max="1792" width="9" style="12"/>
    <col min="1793" max="1793" width="7.375" style="12" bestFit="1" customWidth="1"/>
    <col min="1794" max="1794" width="9.25" style="12" bestFit="1" customWidth="1"/>
    <col min="1795" max="1795" width="12.875" style="12" bestFit="1" customWidth="1"/>
    <col min="1796" max="1796" width="9.25" style="12" bestFit="1" customWidth="1"/>
    <col min="1797" max="1797" width="12.875" style="12" bestFit="1" customWidth="1"/>
    <col min="1798" max="1798" width="18" style="12" bestFit="1" customWidth="1"/>
    <col min="1799" max="1799" width="11.75" style="12" bestFit="1" customWidth="1"/>
    <col min="1800" max="1800" width="13" style="12" bestFit="1" customWidth="1"/>
    <col min="1801" max="1801" width="11.125" style="12" bestFit="1" customWidth="1"/>
    <col min="1802" max="2048" width="9" style="12"/>
    <col min="2049" max="2049" width="7.375" style="12" bestFit="1" customWidth="1"/>
    <col min="2050" max="2050" width="9.25" style="12" bestFit="1" customWidth="1"/>
    <col min="2051" max="2051" width="12.875" style="12" bestFit="1" customWidth="1"/>
    <col min="2052" max="2052" width="9.25" style="12" bestFit="1" customWidth="1"/>
    <col min="2053" max="2053" width="12.875" style="12" bestFit="1" customWidth="1"/>
    <col min="2054" max="2054" width="18" style="12" bestFit="1" customWidth="1"/>
    <col min="2055" max="2055" width="11.75" style="12" bestFit="1" customWidth="1"/>
    <col min="2056" max="2056" width="13" style="12" bestFit="1" customWidth="1"/>
    <col min="2057" max="2057" width="11.125" style="12" bestFit="1" customWidth="1"/>
    <col min="2058" max="2304" width="9" style="12"/>
    <col min="2305" max="2305" width="7.375" style="12" bestFit="1" customWidth="1"/>
    <col min="2306" max="2306" width="9.25" style="12" bestFit="1" customWidth="1"/>
    <col min="2307" max="2307" width="12.875" style="12" bestFit="1" customWidth="1"/>
    <col min="2308" max="2308" width="9.25" style="12" bestFit="1" customWidth="1"/>
    <col min="2309" max="2309" width="12.875" style="12" bestFit="1" customWidth="1"/>
    <col min="2310" max="2310" width="18" style="12" bestFit="1" customWidth="1"/>
    <col min="2311" max="2311" width="11.75" style="12" bestFit="1" customWidth="1"/>
    <col min="2312" max="2312" width="13" style="12" bestFit="1" customWidth="1"/>
    <col min="2313" max="2313" width="11.125" style="12" bestFit="1" customWidth="1"/>
    <col min="2314" max="2560" width="9" style="12"/>
    <col min="2561" max="2561" width="7.375" style="12" bestFit="1" customWidth="1"/>
    <col min="2562" max="2562" width="9.25" style="12" bestFit="1" customWidth="1"/>
    <col min="2563" max="2563" width="12.875" style="12" bestFit="1" customWidth="1"/>
    <col min="2564" max="2564" width="9.25" style="12" bestFit="1" customWidth="1"/>
    <col min="2565" max="2565" width="12.875" style="12" bestFit="1" customWidth="1"/>
    <col min="2566" max="2566" width="18" style="12" bestFit="1" customWidth="1"/>
    <col min="2567" max="2567" width="11.75" style="12" bestFit="1" customWidth="1"/>
    <col min="2568" max="2568" width="13" style="12" bestFit="1" customWidth="1"/>
    <col min="2569" max="2569" width="11.125" style="12" bestFit="1" customWidth="1"/>
    <col min="2570" max="2816" width="9" style="12"/>
    <col min="2817" max="2817" width="7.375" style="12" bestFit="1" customWidth="1"/>
    <col min="2818" max="2818" width="9.25" style="12" bestFit="1" customWidth="1"/>
    <col min="2819" max="2819" width="12.875" style="12" bestFit="1" customWidth="1"/>
    <col min="2820" max="2820" width="9.25" style="12" bestFit="1" customWidth="1"/>
    <col min="2821" max="2821" width="12.875" style="12" bestFit="1" customWidth="1"/>
    <col min="2822" max="2822" width="18" style="12" bestFit="1" customWidth="1"/>
    <col min="2823" max="2823" width="11.75" style="12" bestFit="1" customWidth="1"/>
    <col min="2824" max="2824" width="13" style="12" bestFit="1" customWidth="1"/>
    <col min="2825" max="2825" width="11.125" style="12" bestFit="1" customWidth="1"/>
    <col min="2826" max="3072" width="9" style="12"/>
    <col min="3073" max="3073" width="7.375" style="12" bestFit="1" customWidth="1"/>
    <col min="3074" max="3074" width="9.25" style="12" bestFit="1" customWidth="1"/>
    <col min="3075" max="3075" width="12.875" style="12" bestFit="1" customWidth="1"/>
    <col min="3076" max="3076" width="9.25" style="12" bestFit="1" customWidth="1"/>
    <col min="3077" max="3077" width="12.875" style="12" bestFit="1" customWidth="1"/>
    <col min="3078" max="3078" width="18" style="12" bestFit="1" customWidth="1"/>
    <col min="3079" max="3079" width="11.75" style="12" bestFit="1" customWidth="1"/>
    <col min="3080" max="3080" width="13" style="12" bestFit="1" customWidth="1"/>
    <col min="3081" max="3081" width="11.125" style="12" bestFit="1" customWidth="1"/>
    <col min="3082" max="3328" width="9" style="12"/>
    <col min="3329" max="3329" width="7.375" style="12" bestFit="1" customWidth="1"/>
    <col min="3330" max="3330" width="9.25" style="12" bestFit="1" customWidth="1"/>
    <col min="3331" max="3331" width="12.875" style="12" bestFit="1" customWidth="1"/>
    <col min="3332" max="3332" width="9.25" style="12" bestFit="1" customWidth="1"/>
    <col min="3333" max="3333" width="12.875" style="12" bestFit="1" customWidth="1"/>
    <col min="3334" max="3334" width="18" style="12" bestFit="1" customWidth="1"/>
    <col min="3335" max="3335" width="11.75" style="12" bestFit="1" customWidth="1"/>
    <col min="3336" max="3336" width="13" style="12" bestFit="1" customWidth="1"/>
    <col min="3337" max="3337" width="11.125" style="12" bestFit="1" customWidth="1"/>
    <col min="3338" max="3584" width="9" style="12"/>
    <col min="3585" max="3585" width="7.375" style="12" bestFit="1" customWidth="1"/>
    <col min="3586" max="3586" width="9.25" style="12" bestFit="1" customWidth="1"/>
    <col min="3587" max="3587" width="12.875" style="12" bestFit="1" customWidth="1"/>
    <col min="3588" max="3588" width="9.25" style="12" bestFit="1" customWidth="1"/>
    <col min="3589" max="3589" width="12.875" style="12" bestFit="1" customWidth="1"/>
    <col min="3590" max="3590" width="18" style="12" bestFit="1" customWidth="1"/>
    <col min="3591" max="3591" width="11.75" style="12" bestFit="1" customWidth="1"/>
    <col min="3592" max="3592" width="13" style="12" bestFit="1" customWidth="1"/>
    <col min="3593" max="3593" width="11.125" style="12" bestFit="1" customWidth="1"/>
    <col min="3594" max="3840" width="9" style="12"/>
    <col min="3841" max="3841" width="7.375" style="12" bestFit="1" customWidth="1"/>
    <col min="3842" max="3842" width="9.25" style="12" bestFit="1" customWidth="1"/>
    <col min="3843" max="3843" width="12.875" style="12" bestFit="1" customWidth="1"/>
    <col min="3844" max="3844" width="9.25" style="12" bestFit="1" customWidth="1"/>
    <col min="3845" max="3845" width="12.875" style="12" bestFit="1" customWidth="1"/>
    <col min="3846" max="3846" width="18" style="12" bestFit="1" customWidth="1"/>
    <col min="3847" max="3847" width="11.75" style="12" bestFit="1" customWidth="1"/>
    <col min="3848" max="3848" width="13" style="12" bestFit="1" customWidth="1"/>
    <col min="3849" max="3849" width="11.125" style="12" bestFit="1" customWidth="1"/>
    <col min="3850" max="4096" width="9" style="12"/>
    <col min="4097" max="4097" width="7.375" style="12" bestFit="1" customWidth="1"/>
    <col min="4098" max="4098" width="9.25" style="12" bestFit="1" customWidth="1"/>
    <col min="4099" max="4099" width="12.875" style="12" bestFit="1" customWidth="1"/>
    <col min="4100" max="4100" width="9.25" style="12" bestFit="1" customWidth="1"/>
    <col min="4101" max="4101" width="12.875" style="12" bestFit="1" customWidth="1"/>
    <col min="4102" max="4102" width="18" style="12" bestFit="1" customWidth="1"/>
    <col min="4103" max="4103" width="11.75" style="12" bestFit="1" customWidth="1"/>
    <col min="4104" max="4104" width="13" style="12" bestFit="1" customWidth="1"/>
    <col min="4105" max="4105" width="11.125" style="12" bestFit="1" customWidth="1"/>
    <col min="4106" max="4352" width="9" style="12"/>
    <col min="4353" max="4353" width="7.375" style="12" bestFit="1" customWidth="1"/>
    <col min="4354" max="4354" width="9.25" style="12" bestFit="1" customWidth="1"/>
    <col min="4355" max="4355" width="12.875" style="12" bestFit="1" customWidth="1"/>
    <col min="4356" max="4356" width="9.25" style="12" bestFit="1" customWidth="1"/>
    <col min="4357" max="4357" width="12.875" style="12" bestFit="1" customWidth="1"/>
    <col min="4358" max="4358" width="18" style="12" bestFit="1" customWidth="1"/>
    <col min="4359" max="4359" width="11.75" style="12" bestFit="1" customWidth="1"/>
    <col min="4360" max="4360" width="13" style="12" bestFit="1" customWidth="1"/>
    <col min="4361" max="4361" width="11.125" style="12" bestFit="1" customWidth="1"/>
    <col min="4362" max="4608" width="9" style="12"/>
    <col min="4609" max="4609" width="7.375" style="12" bestFit="1" customWidth="1"/>
    <col min="4610" max="4610" width="9.25" style="12" bestFit="1" customWidth="1"/>
    <col min="4611" max="4611" width="12.875" style="12" bestFit="1" customWidth="1"/>
    <col min="4612" max="4612" width="9.25" style="12" bestFit="1" customWidth="1"/>
    <col min="4613" max="4613" width="12.875" style="12" bestFit="1" customWidth="1"/>
    <col min="4614" max="4614" width="18" style="12" bestFit="1" customWidth="1"/>
    <col min="4615" max="4615" width="11.75" style="12" bestFit="1" customWidth="1"/>
    <col min="4616" max="4616" width="13" style="12" bestFit="1" customWidth="1"/>
    <col min="4617" max="4617" width="11.125" style="12" bestFit="1" customWidth="1"/>
    <col min="4618" max="4864" width="9" style="12"/>
    <col min="4865" max="4865" width="7.375" style="12" bestFit="1" customWidth="1"/>
    <col min="4866" max="4866" width="9.25" style="12" bestFit="1" customWidth="1"/>
    <col min="4867" max="4867" width="12.875" style="12" bestFit="1" customWidth="1"/>
    <col min="4868" max="4868" width="9.25" style="12" bestFit="1" customWidth="1"/>
    <col min="4869" max="4869" width="12.875" style="12" bestFit="1" customWidth="1"/>
    <col min="4870" max="4870" width="18" style="12" bestFit="1" customWidth="1"/>
    <col min="4871" max="4871" width="11.75" style="12" bestFit="1" customWidth="1"/>
    <col min="4872" max="4872" width="13" style="12" bestFit="1" customWidth="1"/>
    <col min="4873" max="4873" width="11.125" style="12" bestFit="1" customWidth="1"/>
    <col min="4874" max="5120" width="9" style="12"/>
    <col min="5121" max="5121" width="7.375" style="12" bestFit="1" customWidth="1"/>
    <col min="5122" max="5122" width="9.25" style="12" bestFit="1" customWidth="1"/>
    <col min="5123" max="5123" width="12.875" style="12" bestFit="1" customWidth="1"/>
    <col min="5124" max="5124" width="9.25" style="12" bestFit="1" customWidth="1"/>
    <col min="5125" max="5125" width="12.875" style="12" bestFit="1" customWidth="1"/>
    <col min="5126" max="5126" width="18" style="12" bestFit="1" customWidth="1"/>
    <col min="5127" max="5127" width="11.75" style="12" bestFit="1" customWidth="1"/>
    <col min="5128" max="5128" width="13" style="12" bestFit="1" customWidth="1"/>
    <col min="5129" max="5129" width="11.125" style="12" bestFit="1" customWidth="1"/>
    <col min="5130" max="5376" width="9" style="12"/>
    <col min="5377" max="5377" width="7.375" style="12" bestFit="1" customWidth="1"/>
    <col min="5378" max="5378" width="9.25" style="12" bestFit="1" customWidth="1"/>
    <col min="5379" max="5379" width="12.875" style="12" bestFit="1" customWidth="1"/>
    <col min="5380" max="5380" width="9.25" style="12" bestFit="1" customWidth="1"/>
    <col min="5381" max="5381" width="12.875" style="12" bestFit="1" customWidth="1"/>
    <col min="5382" max="5382" width="18" style="12" bestFit="1" customWidth="1"/>
    <col min="5383" max="5383" width="11.75" style="12" bestFit="1" customWidth="1"/>
    <col min="5384" max="5384" width="13" style="12" bestFit="1" customWidth="1"/>
    <col min="5385" max="5385" width="11.125" style="12" bestFit="1" customWidth="1"/>
    <col min="5386" max="5632" width="9" style="12"/>
    <col min="5633" max="5633" width="7.375" style="12" bestFit="1" customWidth="1"/>
    <col min="5634" max="5634" width="9.25" style="12" bestFit="1" customWidth="1"/>
    <col min="5635" max="5635" width="12.875" style="12" bestFit="1" customWidth="1"/>
    <col min="5636" max="5636" width="9.25" style="12" bestFit="1" customWidth="1"/>
    <col min="5637" max="5637" width="12.875" style="12" bestFit="1" customWidth="1"/>
    <col min="5638" max="5638" width="18" style="12" bestFit="1" customWidth="1"/>
    <col min="5639" max="5639" width="11.75" style="12" bestFit="1" customWidth="1"/>
    <col min="5640" max="5640" width="13" style="12" bestFit="1" customWidth="1"/>
    <col min="5641" max="5641" width="11.125" style="12" bestFit="1" customWidth="1"/>
    <col min="5642" max="5888" width="9" style="12"/>
    <col min="5889" max="5889" width="7.375" style="12" bestFit="1" customWidth="1"/>
    <col min="5890" max="5890" width="9.25" style="12" bestFit="1" customWidth="1"/>
    <col min="5891" max="5891" width="12.875" style="12" bestFit="1" customWidth="1"/>
    <col min="5892" max="5892" width="9.25" style="12" bestFit="1" customWidth="1"/>
    <col min="5893" max="5893" width="12.875" style="12" bestFit="1" customWidth="1"/>
    <col min="5894" max="5894" width="18" style="12" bestFit="1" customWidth="1"/>
    <col min="5895" max="5895" width="11.75" style="12" bestFit="1" customWidth="1"/>
    <col min="5896" max="5896" width="13" style="12" bestFit="1" customWidth="1"/>
    <col min="5897" max="5897" width="11.125" style="12" bestFit="1" customWidth="1"/>
    <col min="5898" max="6144" width="9" style="12"/>
    <col min="6145" max="6145" width="7.375" style="12" bestFit="1" customWidth="1"/>
    <col min="6146" max="6146" width="9.25" style="12" bestFit="1" customWidth="1"/>
    <col min="6147" max="6147" width="12.875" style="12" bestFit="1" customWidth="1"/>
    <col min="6148" max="6148" width="9.25" style="12" bestFit="1" customWidth="1"/>
    <col min="6149" max="6149" width="12.875" style="12" bestFit="1" customWidth="1"/>
    <col min="6150" max="6150" width="18" style="12" bestFit="1" customWidth="1"/>
    <col min="6151" max="6151" width="11.75" style="12" bestFit="1" customWidth="1"/>
    <col min="6152" max="6152" width="13" style="12" bestFit="1" customWidth="1"/>
    <col min="6153" max="6153" width="11.125" style="12" bestFit="1" customWidth="1"/>
    <col min="6154" max="6400" width="9" style="12"/>
    <col min="6401" max="6401" width="7.375" style="12" bestFit="1" customWidth="1"/>
    <col min="6402" max="6402" width="9.25" style="12" bestFit="1" customWidth="1"/>
    <col min="6403" max="6403" width="12.875" style="12" bestFit="1" customWidth="1"/>
    <col min="6404" max="6404" width="9.25" style="12" bestFit="1" customWidth="1"/>
    <col min="6405" max="6405" width="12.875" style="12" bestFit="1" customWidth="1"/>
    <col min="6406" max="6406" width="18" style="12" bestFit="1" customWidth="1"/>
    <col min="6407" max="6407" width="11.75" style="12" bestFit="1" customWidth="1"/>
    <col min="6408" max="6408" width="13" style="12" bestFit="1" customWidth="1"/>
    <col min="6409" max="6409" width="11.125" style="12" bestFit="1" customWidth="1"/>
    <col min="6410" max="6656" width="9" style="12"/>
    <col min="6657" max="6657" width="7.375" style="12" bestFit="1" customWidth="1"/>
    <col min="6658" max="6658" width="9.25" style="12" bestFit="1" customWidth="1"/>
    <col min="6659" max="6659" width="12.875" style="12" bestFit="1" customWidth="1"/>
    <col min="6660" max="6660" width="9.25" style="12" bestFit="1" customWidth="1"/>
    <col min="6661" max="6661" width="12.875" style="12" bestFit="1" customWidth="1"/>
    <col min="6662" max="6662" width="18" style="12" bestFit="1" customWidth="1"/>
    <col min="6663" max="6663" width="11.75" style="12" bestFit="1" customWidth="1"/>
    <col min="6664" max="6664" width="13" style="12" bestFit="1" customWidth="1"/>
    <col min="6665" max="6665" width="11.125" style="12" bestFit="1" customWidth="1"/>
    <col min="6666" max="6912" width="9" style="12"/>
    <col min="6913" max="6913" width="7.375" style="12" bestFit="1" customWidth="1"/>
    <col min="6914" max="6914" width="9.25" style="12" bestFit="1" customWidth="1"/>
    <col min="6915" max="6915" width="12.875" style="12" bestFit="1" customWidth="1"/>
    <col min="6916" max="6916" width="9.25" style="12" bestFit="1" customWidth="1"/>
    <col min="6917" max="6917" width="12.875" style="12" bestFit="1" customWidth="1"/>
    <col min="6918" max="6918" width="18" style="12" bestFit="1" customWidth="1"/>
    <col min="6919" max="6919" width="11.75" style="12" bestFit="1" customWidth="1"/>
    <col min="6920" max="6920" width="13" style="12" bestFit="1" customWidth="1"/>
    <col min="6921" max="6921" width="11.125" style="12" bestFit="1" customWidth="1"/>
    <col min="6922" max="7168" width="9" style="12"/>
    <col min="7169" max="7169" width="7.375" style="12" bestFit="1" customWidth="1"/>
    <col min="7170" max="7170" width="9.25" style="12" bestFit="1" customWidth="1"/>
    <col min="7171" max="7171" width="12.875" style="12" bestFit="1" customWidth="1"/>
    <col min="7172" max="7172" width="9.25" style="12" bestFit="1" customWidth="1"/>
    <col min="7173" max="7173" width="12.875" style="12" bestFit="1" customWidth="1"/>
    <col min="7174" max="7174" width="18" style="12" bestFit="1" customWidth="1"/>
    <col min="7175" max="7175" width="11.75" style="12" bestFit="1" customWidth="1"/>
    <col min="7176" max="7176" width="13" style="12" bestFit="1" customWidth="1"/>
    <col min="7177" max="7177" width="11.125" style="12" bestFit="1" customWidth="1"/>
    <col min="7178" max="7424" width="9" style="12"/>
    <col min="7425" max="7425" width="7.375" style="12" bestFit="1" customWidth="1"/>
    <col min="7426" max="7426" width="9.25" style="12" bestFit="1" customWidth="1"/>
    <col min="7427" max="7427" width="12.875" style="12" bestFit="1" customWidth="1"/>
    <col min="7428" max="7428" width="9.25" style="12" bestFit="1" customWidth="1"/>
    <col min="7429" max="7429" width="12.875" style="12" bestFit="1" customWidth="1"/>
    <col min="7430" max="7430" width="18" style="12" bestFit="1" customWidth="1"/>
    <col min="7431" max="7431" width="11.75" style="12" bestFit="1" customWidth="1"/>
    <col min="7432" max="7432" width="13" style="12" bestFit="1" customWidth="1"/>
    <col min="7433" max="7433" width="11.125" style="12" bestFit="1" customWidth="1"/>
    <col min="7434" max="7680" width="9" style="12"/>
    <col min="7681" max="7681" width="7.375" style="12" bestFit="1" customWidth="1"/>
    <col min="7682" max="7682" width="9.25" style="12" bestFit="1" customWidth="1"/>
    <col min="7683" max="7683" width="12.875" style="12" bestFit="1" customWidth="1"/>
    <col min="7684" max="7684" width="9.25" style="12" bestFit="1" customWidth="1"/>
    <col min="7685" max="7685" width="12.875" style="12" bestFit="1" customWidth="1"/>
    <col min="7686" max="7686" width="18" style="12" bestFit="1" customWidth="1"/>
    <col min="7687" max="7687" width="11.75" style="12" bestFit="1" customWidth="1"/>
    <col min="7688" max="7688" width="13" style="12" bestFit="1" customWidth="1"/>
    <col min="7689" max="7689" width="11.125" style="12" bestFit="1" customWidth="1"/>
    <col min="7690" max="7936" width="9" style="12"/>
    <col min="7937" max="7937" width="7.375" style="12" bestFit="1" customWidth="1"/>
    <col min="7938" max="7938" width="9.25" style="12" bestFit="1" customWidth="1"/>
    <col min="7939" max="7939" width="12.875" style="12" bestFit="1" customWidth="1"/>
    <col min="7940" max="7940" width="9.25" style="12" bestFit="1" customWidth="1"/>
    <col min="7941" max="7941" width="12.875" style="12" bestFit="1" customWidth="1"/>
    <col min="7942" max="7942" width="18" style="12" bestFit="1" customWidth="1"/>
    <col min="7943" max="7943" width="11.75" style="12" bestFit="1" customWidth="1"/>
    <col min="7944" max="7944" width="13" style="12" bestFit="1" customWidth="1"/>
    <col min="7945" max="7945" width="11.125" style="12" bestFit="1" customWidth="1"/>
    <col min="7946" max="8192" width="9" style="12"/>
    <col min="8193" max="8193" width="7.375" style="12" bestFit="1" customWidth="1"/>
    <col min="8194" max="8194" width="9.25" style="12" bestFit="1" customWidth="1"/>
    <col min="8195" max="8195" width="12.875" style="12" bestFit="1" customWidth="1"/>
    <col min="8196" max="8196" width="9.25" style="12" bestFit="1" customWidth="1"/>
    <col min="8197" max="8197" width="12.875" style="12" bestFit="1" customWidth="1"/>
    <col min="8198" max="8198" width="18" style="12" bestFit="1" customWidth="1"/>
    <col min="8199" max="8199" width="11.75" style="12" bestFit="1" customWidth="1"/>
    <col min="8200" max="8200" width="13" style="12" bestFit="1" customWidth="1"/>
    <col min="8201" max="8201" width="11.125" style="12" bestFit="1" customWidth="1"/>
    <col min="8202" max="8448" width="9" style="12"/>
    <col min="8449" max="8449" width="7.375" style="12" bestFit="1" customWidth="1"/>
    <col min="8450" max="8450" width="9.25" style="12" bestFit="1" customWidth="1"/>
    <col min="8451" max="8451" width="12.875" style="12" bestFit="1" customWidth="1"/>
    <col min="8452" max="8452" width="9.25" style="12" bestFit="1" customWidth="1"/>
    <col min="8453" max="8453" width="12.875" style="12" bestFit="1" customWidth="1"/>
    <col min="8454" max="8454" width="18" style="12" bestFit="1" customWidth="1"/>
    <col min="8455" max="8455" width="11.75" style="12" bestFit="1" customWidth="1"/>
    <col min="8456" max="8456" width="13" style="12" bestFit="1" customWidth="1"/>
    <col min="8457" max="8457" width="11.125" style="12" bestFit="1" customWidth="1"/>
    <col min="8458" max="8704" width="9" style="12"/>
    <col min="8705" max="8705" width="7.375" style="12" bestFit="1" customWidth="1"/>
    <col min="8706" max="8706" width="9.25" style="12" bestFit="1" customWidth="1"/>
    <col min="8707" max="8707" width="12.875" style="12" bestFit="1" customWidth="1"/>
    <col min="8708" max="8708" width="9.25" style="12" bestFit="1" customWidth="1"/>
    <col min="8709" max="8709" width="12.875" style="12" bestFit="1" customWidth="1"/>
    <col min="8710" max="8710" width="18" style="12" bestFit="1" customWidth="1"/>
    <col min="8711" max="8711" width="11.75" style="12" bestFit="1" customWidth="1"/>
    <col min="8712" max="8712" width="13" style="12" bestFit="1" customWidth="1"/>
    <col min="8713" max="8713" width="11.125" style="12" bestFit="1" customWidth="1"/>
    <col min="8714" max="8960" width="9" style="12"/>
    <col min="8961" max="8961" width="7.375" style="12" bestFit="1" customWidth="1"/>
    <col min="8962" max="8962" width="9.25" style="12" bestFit="1" customWidth="1"/>
    <col min="8963" max="8963" width="12.875" style="12" bestFit="1" customWidth="1"/>
    <col min="8964" max="8964" width="9.25" style="12" bestFit="1" customWidth="1"/>
    <col min="8965" max="8965" width="12.875" style="12" bestFit="1" customWidth="1"/>
    <col min="8966" max="8966" width="18" style="12" bestFit="1" customWidth="1"/>
    <col min="8967" max="8967" width="11.75" style="12" bestFit="1" customWidth="1"/>
    <col min="8968" max="8968" width="13" style="12" bestFit="1" customWidth="1"/>
    <col min="8969" max="8969" width="11.125" style="12" bestFit="1" customWidth="1"/>
    <col min="8970" max="9216" width="9" style="12"/>
    <col min="9217" max="9217" width="7.375" style="12" bestFit="1" customWidth="1"/>
    <col min="9218" max="9218" width="9.25" style="12" bestFit="1" customWidth="1"/>
    <col min="9219" max="9219" width="12.875" style="12" bestFit="1" customWidth="1"/>
    <col min="9220" max="9220" width="9.25" style="12" bestFit="1" customWidth="1"/>
    <col min="9221" max="9221" width="12.875" style="12" bestFit="1" customWidth="1"/>
    <col min="9222" max="9222" width="18" style="12" bestFit="1" customWidth="1"/>
    <col min="9223" max="9223" width="11.75" style="12" bestFit="1" customWidth="1"/>
    <col min="9224" max="9224" width="13" style="12" bestFit="1" customWidth="1"/>
    <col min="9225" max="9225" width="11.125" style="12" bestFit="1" customWidth="1"/>
    <col min="9226" max="9472" width="9" style="12"/>
    <col min="9473" max="9473" width="7.375" style="12" bestFit="1" customWidth="1"/>
    <col min="9474" max="9474" width="9.25" style="12" bestFit="1" customWidth="1"/>
    <col min="9475" max="9475" width="12.875" style="12" bestFit="1" customWidth="1"/>
    <col min="9476" max="9476" width="9.25" style="12" bestFit="1" customWidth="1"/>
    <col min="9477" max="9477" width="12.875" style="12" bestFit="1" customWidth="1"/>
    <col min="9478" max="9478" width="18" style="12" bestFit="1" customWidth="1"/>
    <col min="9479" max="9479" width="11.75" style="12" bestFit="1" customWidth="1"/>
    <col min="9480" max="9480" width="13" style="12" bestFit="1" customWidth="1"/>
    <col min="9481" max="9481" width="11.125" style="12" bestFit="1" customWidth="1"/>
    <col min="9482" max="9728" width="9" style="12"/>
    <col min="9729" max="9729" width="7.375" style="12" bestFit="1" customWidth="1"/>
    <col min="9730" max="9730" width="9.25" style="12" bestFit="1" customWidth="1"/>
    <col min="9731" max="9731" width="12.875" style="12" bestFit="1" customWidth="1"/>
    <col min="9732" max="9732" width="9.25" style="12" bestFit="1" customWidth="1"/>
    <col min="9733" max="9733" width="12.875" style="12" bestFit="1" customWidth="1"/>
    <col min="9734" max="9734" width="18" style="12" bestFit="1" customWidth="1"/>
    <col min="9735" max="9735" width="11.75" style="12" bestFit="1" customWidth="1"/>
    <col min="9736" max="9736" width="13" style="12" bestFit="1" customWidth="1"/>
    <col min="9737" max="9737" width="11.125" style="12" bestFit="1" customWidth="1"/>
    <col min="9738" max="9984" width="9" style="12"/>
    <col min="9985" max="9985" width="7.375" style="12" bestFit="1" customWidth="1"/>
    <col min="9986" max="9986" width="9.25" style="12" bestFit="1" customWidth="1"/>
    <col min="9987" max="9987" width="12.875" style="12" bestFit="1" customWidth="1"/>
    <col min="9988" max="9988" width="9.25" style="12" bestFit="1" customWidth="1"/>
    <col min="9989" max="9989" width="12.875" style="12" bestFit="1" customWidth="1"/>
    <col min="9990" max="9990" width="18" style="12" bestFit="1" customWidth="1"/>
    <col min="9991" max="9991" width="11.75" style="12" bestFit="1" customWidth="1"/>
    <col min="9992" max="9992" width="13" style="12" bestFit="1" customWidth="1"/>
    <col min="9993" max="9993" width="11.125" style="12" bestFit="1" customWidth="1"/>
    <col min="9994" max="10240" width="9" style="12"/>
    <col min="10241" max="10241" width="7.375" style="12" bestFit="1" customWidth="1"/>
    <col min="10242" max="10242" width="9.25" style="12" bestFit="1" customWidth="1"/>
    <col min="10243" max="10243" width="12.875" style="12" bestFit="1" customWidth="1"/>
    <col min="10244" max="10244" width="9.25" style="12" bestFit="1" customWidth="1"/>
    <col min="10245" max="10245" width="12.875" style="12" bestFit="1" customWidth="1"/>
    <col min="10246" max="10246" width="18" style="12" bestFit="1" customWidth="1"/>
    <col min="10247" max="10247" width="11.75" style="12" bestFit="1" customWidth="1"/>
    <col min="10248" max="10248" width="13" style="12" bestFit="1" customWidth="1"/>
    <col min="10249" max="10249" width="11.125" style="12" bestFit="1" customWidth="1"/>
    <col min="10250" max="10496" width="9" style="12"/>
    <col min="10497" max="10497" width="7.375" style="12" bestFit="1" customWidth="1"/>
    <col min="10498" max="10498" width="9.25" style="12" bestFit="1" customWidth="1"/>
    <col min="10499" max="10499" width="12.875" style="12" bestFit="1" customWidth="1"/>
    <col min="10500" max="10500" width="9.25" style="12" bestFit="1" customWidth="1"/>
    <col min="10501" max="10501" width="12.875" style="12" bestFit="1" customWidth="1"/>
    <col min="10502" max="10502" width="18" style="12" bestFit="1" customWidth="1"/>
    <col min="10503" max="10503" width="11.75" style="12" bestFit="1" customWidth="1"/>
    <col min="10504" max="10504" width="13" style="12" bestFit="1" customWidth="1"/>
    <col min="10505" max="10505" width="11.125" style="12" bestFit="1" customWidth="1"/>
    <col min="10506" max="10752" width="9" style="12"/>
    <col min="10753" max="10753" width="7.375" style="12" bestFit="1" customWidth="1"/>
    <col min="10754" max="10754" width="9.25" style="12" bestFit="1" customWidth="1"/>
    <col min="10755" max="10755" width="12.875" style="12" bestFit="1" customWidth="1"/>
    <col min="10756" max="10756" width="9.25" style="12" bestFit="1" customWidth="1"/>
    <col min="10757" max="10757" width="12.875" style="12" bestFit="1" customWidth="1"/>
    <col min="10758" max="10758" width="18" style="12" bestFit="1" customWidth="1"/>
    <col min="10759" max="10759" width="11.75" style="12" bestFit="1" customWidth="1"/>
    <col min="10760" max="10760" width="13" style="12" bestFit="1" customWidth="1"/>
    <col min="10761" max="10761" width="11.125" style="12" bestFit="1" customWidth="1"/>
    <col min="10762" max="11008" width="9" style="12"/>
    <col min="11009" max="11009" width="7.375" style="12" bestFit="1" customWidth="1"/>
    <col min="11010" max="11010" width="9.25" style="12" bestFit="1" customWidth="1"/>
    <col min="11011" max="11011" width="12.875" style="12" bestFit="1" customWidth="1"/>
    <col min="11012" max="11012" width="9.25" style="12" bestFit="1" customWidth="1"/>
    <col min="11013" max="11013" width="12.875" style="12" bestFit="1" customWidth="1"/>
    <col min="11014" max="11014" width="18" style="12" bestFit="1" customWidth="1"/>
    <col min="11015" max="11015" width="11.75" style="12" bestFit="1" customWidth="1"/>
    <col min="11016" max="11016" width="13" style="12" bestFit="1" customWidth="1"/>
    <col min="11017" max="11017" width="11.125" style="12" bestFit="1" customWidth="1"/>
    <col min="11018" max="11264" width="9" style="12"/>
    <col min="11265" max="11265" width="7.375" style="12" bestFit="1" customWidth="1"/>
    <col min="11266" max="11266" width="9.25" style="12" bestFit="1" customWidth="1"/>
    <col min="11267" max="11267" width="12.875" style="12" bestFit="1" customWidth="1"/>
    <col min="11268" max="11268" width="9.25" style="12" bestFit="1" customWidth="1"/>
    <col min="11269" max="11269" width="12.875" style="12" bestFit="1" customWidth="1"/>
    <col min="11270" max="11270" width="18" style="12" bestFit="1" customWidth="1"/>
    <col min="11271" max="11271" width="11.75" style="12" bestFit="1" customWidth="1"/>
    <col min="11272" max="11272" width="13" style="12" bestFit="1" customWidth="1"/>
    <col min="11273" max="11273" width="11.125" style="12" bestFit="1" customWidth="1"/>
    <col min="11274" max="11520" width="9" style="12"/>
    <col min="11521" max="11521" width="7.375" style="12" bestFit="1" customWidth="1"/>
    <col min="11522" max="11522" width="9.25" style="12" bestFit="1" customWidth="1"/>
    <col min="11523" max="11523" width="12.875" style="12" bestFit="1" customWidth="1"/>
    <col min="11524" max="11524" width="9.25" style="12" bestFit="1" customWidth="1"/>
    <col min="11525" max="11525" width="12.875" style="12" bestFit="1" customWidth="1"/>
    <col min="11526" max="11526" width="18" style="12" bestFit="1" customWidth="1"/>
    <col min="11527" max="11527" width="11.75" style="12" bestFit="1" customWidth="1"/>
    <col min="11528" max="11528" width="13" style="12" bestFit="1" customWidth="1"/>
    <col min="11529" max="11529" width="11.125" style="12" bestFit="1" customWidth="1"/>
    <col min="11530" max="11776" width="9" style="12"/>
    <col min="11777" max="11777" width="7.375" style="12" bestFit="1" customWidth="1"/>
    <col min="11778" max="11778" width="9.25" style="12" bestFit="1" customWidth="1"/>
    <col min="11779" max="11779" width="12.875" style="12" bestFit="1" customWidth="1"/>
    <col min="11780" max="11780" width="9.25" style="12" bestFit="1" customWidth="1"/>
    <col min="11781" max="11781" width="12.875" style="12" bestFit="1" customWidth="1"/>
    <col min="11782" max="11782" width="18" style="12" bestFit="1" customWidth="1"/>
    <col min="11783" max="11783" width="11.75" style="12" bestFit="1" customWidth="1"/>
    <col min="11784" max="11784" width="13" style="12" bestFit="1" customWidth="1"/>
    <col min="11785" max="11785" width="11.125" style="12" bestFit="1" customWidth="1"/>
    <col min="11786" max="12032" width="9" style="12"/>
    <col min="12033" max="12033" width="7.375" style="12" bestFit="1" customWidth="1"/>
    <col min="12034" max="12034" width="9.25" style="12" bestFit="1" customWidth="1"/>
    <col min="12035" max="12035" width="12.875" style="12" bestFit="1" customWidth="1"/>
    <col min="12036" max="12036" width="9.25" style="12" bestFit="1" customWidth="1"/>
    <col min="12037" max="12037" width="12.875" style="12" bestFit="1" customWidth="1"/>
    <col min="12038" max="12038" width="18" style="12" bestFit="1" customWidth="1"/>
    <col min="12039" max="12039" width="11.75" style="12" bestFit="1" customWidth="1"/>
    <col min="12040" max="12040" width="13" style="12" bestFit="1" customWidth="1"/>
    <col min="12041" max="12041" width="11.125" style="12" bestFit="1" customWidth="1"/>
    <col min="12042" max="12288" width="9" style="12"/>
    <col min="12289" max="12289" width="7.375" style="12" bestFit="1" customWidth="1"/>
    <col min="12290" max="12290" width="9.25" style="12" bestFit="1" customWidth="1"/>
    <col min="12291" max="12291" width="12.875" style="12" bestFit="1" customWidth="1"/>
    <col min="12292" max="12292" width="9.25" style="12" bestFit="1" customWidth="1"/>
    <col min="12293" max="12293" width="12.875" style="12" bestFit="1" customWidth="1"/>
    <col min="12294" max="12294" width="18" style="12" bestFit="1" customWidth="1"/>
    <col min="12295" max="12295" width="11.75" style="12" bestFit="1" customWidth="1"/>
    <col min="12296" max="12296" width="13" style="12" bestFit="1" customWidth="1"/>
    <col min="12297" max="12297" width="11.125" style="12" bestFit="1" customWidth="1"/>
    <col min="12298" max="12544" width="9" style="12"/>
    <col min="12545" max="12545" width="7.375" style="12" bestFit="1" customWidth="1"/>
    <col min="12546" max="12546" width="9.25" style="12" bestFit="1" customWidth="1"/>
    <col min="12547" max="12547" width="12.875" style="12" bestFit="1" customWidth="1"/>
    <col min="12548" max="12548" width="9.25" style="12" bestFit="1" customWidth="1"/>
    <col min="12549" max="12549" width="12.875" style="12" bestFit="1" customWidth="1"/>
    <col min="12550" max="12550" width="18" style="12" bestFit="1" customWidth="1"/>
    <col min="12551" max="12551" width="11.75" style="12" bestFit="1" customWidth="1"/>
    <col min="12552" max="12552" width="13" style="12" bestFit="1" customWidth="1"/>
    <col min="12553" max="12553" width="11.125" style="12" bestFit="1" customWidth="1"/>
    <col min="12554" max="12800" width="9" style="12"/>
    <col min="12801" max="12801" width="7.375" style="12" bestFit="1" customWidth="1"/>
    <col min="12802" max="12802" width="9.25" style="12" bestFit="1" customWidth="1"/>
    <col min="12803" max="12803" width="12.875" style="12" bestFit="1" customWidth="1"/>
    <col min="12804" max="12804" width="9.25" style="12" bestFit="1" customWidth="1"/>
    <col min="12805" max="12805" width="12.875" style="12" bestFit="1" customWidth="1"/>
    <col min="12806" max="12806" width="18" style="12" bestFit="1" customWidth="1"/>
    <col min="12807" max="12807" width="11.75" style="12" bestFit="1" customWidth="1"/>
    <col min="12808" max="12808" width="13" style="12" bestFit="1" customWidth="1"/>
    <col min="12809" max="12809" width="11.125" style="12" bestFit="1" customWidth="1"/>
    <col min="12810" max="13056" width="9" style="12"/>
    <col min="13057" max="13057" width="7.375" style="12" bestFit="1" customWidth="1"/>
    <col min="13058" max="13058" width="9.25" style="12" bestFit="1" customWidth="1"/>
    <col min="13059" max="13059" width="12.875" style="12" bestFit="1" customWidth="1"/>
    <col min="13060" max="13060" width="9.25" style="12" bestFit="1" customWidth="1"/>
    <col min="13061" max="13061" width="12.875" style="12" bestFit="1" customWidth="1"/>
    <col min="13062" max="13062" width="18" style="12" bestFit="1" customWidth="1"/>
    <col min="13063" max="13063" width="11.75" style="12" bestFit="1" customWidth="1"/>
    <col min="13064" max="13064" width="13" style="12" bestFit="1" customWidth="1"/>
    <col min="13065" max="13065" width="11.125" style="12" bestFit="1" customWidth="1"/>
    <col min="13066" max="13312" width="9" style="12"/>
    <col min="13313" max="13313" width="7.375" style="12" bestFit="1" customWidth="1"/>
    <col min="13314" max="13314" width="9.25" style="12" bestFit="1" customWidth="1"/>
    <col min="13315" max="13315" width="12.875" style="12" bestFit="1" customWidth="1"/>
    <col min="13316" max="13316" width="9.25" style="12" bestFit="1" customWidth="1"/>
    <col min="13317" max="13317" width="12.875" style="12" bestFit="1" customWidth="1"/>
    <col min="13318" max="13318" width="18" style="12" bestFit="1" customWidth="1"/>
    <col min="13319" max="13319" width="11.75" style="12" bestFit="1" customWidth="1"/>
    <col min="13320" max="13320" width="13" style="12" bestFit="1" customWidth="1"/>
    <col min="13321" max="13321" width="11.125" style="12" bestFit="1" customWidth="1"/>
    <col min="13322" max="13568" width="9" style="12"/>
    <col min="13569" max="13569" width="7.375" style="12" bestFit="1" customWidth="1"/>
    <col min="13570" max="13570" width="9.25" style="12" bestFit="1" customWidth="1"/>
    <col min="13571" max="13571" width="12.875" style="12" bestFit="1" customWidth="1"/>
    <col min="13572" max="13572" width="9.25" style="12" bestFit="1" customWidth="1"/>
    <col min="13573" max="13573" width="12.875" style="12" bestFit="1" customWidth="1"/>
    <col min="13574" max="13574" width="18" style="12" bestFit="1" customWidth="1"/>
    <col min="13575" max="13575" width="11.75" style="12" bestFit="1" customWidth="1"/>
    <col min="13576" max="13576" width="13" style="12" bestFit="1" customWidth="1"/>
    <col min="13577" max="13577" width="11.125" style="12" bestFit="1" customWidth="1"/>
    <col min="13578" max="13824" width="9" style="12"/>
    <col min="13825" max="13825" width="7.375" style="12" bestFit="1" customWidth="1"/>
    <col min="13826" max="13826" width="9.25" style="12" bestFit="1" customWidth="1"/>
    <col min="13827" max="13827" width="12.875" style="12" bestFit="1" customWidth="1"/>
    <col min="13828" max="13828" width="9.25" style="12" bestFit="1" customWidth="1"/>
    <col min="13829" max="13829" width="12.875" style="12" bestFit="1" customWidth="1"/>
    <col min="13830" max="13830" width="18" style="12" bestFit="1" customWidth="1"/>
    <col min="13831" max="13831" width="11.75" style="12" bestFit="1" customWidth="1"/>
    <col min="13832" max="13832" width="13" style="12" bestFit="1" customWidth="1"/>
    <col min="13833" max="13833" width="11.125" style="12" bestFit="1" customWidth="1"/>
    <col min="13834" max="14080" width="9" style="12"/>
    <col min="14081" max="14081" width="7.375" style="12" bestFit="1" customWidth="1"/>
    <col min="14082" max="14082" width="9.25" style="12" bestFit="1" customWidth="1"/>
    <col min="14083" max="14083" width="12.875" style="12" bestFit="1" customWidth="1"/>
    <col min="14084" max="14084" width="9.25" style="12" bestFit="1" customWidth="1"/>
    <col min="14085" max="14085" width="12.875" style="12" bestFit="1" customWidth="1"/>
    <col min="14086" max="14086" width="18" style="12" bestFit="1" customWidth="1"/>
    <col min="14087" max="14087" width="11.75" style="12" bestFit="1" customWidth="1"/>
    <col min="14088" max="14088" width="13" style="12" bestFit="1" customWidth="1"/>
    <col min="14089" max="14089" width="11.125" style="12" bestFit="1" customWidth="1"/>
    <col min="14090" max="14336" width="9" style="12"/>
    <col min="14337" max="14337" width="7.375" style="12" bestFit="1" customWidth="1"/>
    <col min="14338" max="14338" width="9.25" style="12" bestFit="1" customWidth="1"/>
    <col min="14339" max="14339" width="12.875" style="12" bestFit="1" customWidth="1"/>
    <col min="14340" max="14340" width="9.25" style="12" bestFit="1" customWidth="1"/>
    <col min="14341" max="14341" width="12.875" style="12" bestFit="1" customWidth="1"/>
    <col min="14342" max="14342" width="18" style="12" bestFit="1" customWidth="1"/>
    <col min="14343" max="14343" width="11.75" style="12" bestFit="1" customWidth="1"/>
    <col min="14344" max="14344" width="13" style="12" bestFit="1" customWidth="1"/>
    <col min="14345" max="14345" width="11.125" style="12" bestFit="1" customWidth="1"/>
    <col min="14346" max="14592" width="9" style="12"/>
    <col min="14593" max="14593" width="7.375" style="12" bestFit="1" customWidth="1"/>
    <col min="14594" max="14594" width="9.25" style="12" bestFit="1" customWidth="1"/>
    <col min="14595" max="14595" width="12.875" style="12" bestFit="1" customWidth="1"/>
    <col min="14596" max="14596" width="9.25" style="12" bestFit="1" customWidth="1"/>
    <col min="14597" max="14597" width="12.875" style="12" bestFit="1" customWidth="1"/>
    <col min="14598" max="14598" width="18" style="12" bestFit="1" customWidth="1"/>
    <col min="14599" max="14599" width="11.75" style="12" bestFit="1" customWidth="1"/>
    <col min="14600" max="14600" width="13" style="12" bestFit="1" customWidth="1"/>
    <col min="14601" max="14601" width="11.125" style="12" bestFit="1" customWidth="1"/>
    <col min="14602" max="14848" width="9" style="12"/>
    <col min="14849" max="14849" width="7.375" style="12" bestFit="1" customWidth="1"/>
    <col min="14850" max="14850" width="9.25" style="12" bestFit="1" customWidth="1"/>
    <col min="14851" max="14851" width="12.875" style="12" bestFit="1" customWidth="1"/>
    <col min="14852" max="14852" width="9.25" style="12" bestFit="1" customWidth="1"/>
    <col min="14853" max="14853" width="12.875" style="12" bestFit="1" customWidth="1"/>
    <col min="14854" max="14854" width="18" style="12" bestFit="1" customWidth="1"/>
    <col min="14855" max="14855" width="11.75" style="12" bestFit="1" customWidth="1"/>
    <col min="14856" max="14856" width="13" style="12" bestFit="1" customWidth="1"/>
    <col min="14857" max="14857" width="11.125" style="12" bestFit="1" customWidth="1"/>
    <col min="14858" max="15104" width="9" style="12"/>
    <col min="15105" max="15105" width="7.375" style="12" bestFit="1" customWidth="1"/>
    <col min="15106" max="15106" width="9.25" style="12" bestFit="1" customWidth="1"/>
    <col min="15107" max="15107" width="12.875" style="12" bestFit="1" customWidth="1"/>
    <col min="15108" max="15108" width="9.25" style="12" bestFit="1" customWidth="1"/>
    <col min="15109" max="15109" width="12.875" style="12" bestFit="1" customWidth="1"/>
    <col min="15110" max="15110" width="18" style="12" bestFit="1" customWidth="1"/>
    <col min="15111" max="15111" width="11.75" style="12" bestFit="1" customWidth="1"/>
    <col min="15112" max="15112" width="13" style="12" bestFit="1" customWidth="1"/>
    <col min="15113" max="15113" width="11.125" style="12" bestFit="1" customWidth="1"/>
    <col min="15114" max="15360" width="9" style="12"/>
    <col min="15361" max="15361" width="7.375" style="12" bestFit="1" customWidth="1"/>
    <col min="15362" max="15362" width="9.25" style="12" bestFit="1" customWidth="1"/>
    <col min="15363" max="15363" width="12.875" style="12" bestFit="1" customWidth="1"/>
    <col min="15364" max="15364" width="9.25" style="12" bestFit="1" customWidth="1"/>
    <col min="15365" max="15365" width="12.875" style="12" bestFit="1" customWidth="1"/>
    <col min="15366" max="15366" width="18" style="12" bestFit="1" customWidth="1"/>
    <col min="15367" max="15367" width="11.75" style="12" bestFit="1" customWidth="1"/>
    <col min="15368" max="15368" width="13" style="12" bestFit="1" customWidth="1"/>
    <col min="15369" max="15369" width="11.125" style="12" bestFit="1" customWidth="1"/>
    <col min="15370" max="15616" width="9" style="12"/>
    <col min="15617" max="15617" width="7.375" style="12" bestFit="1" customWidth="1"/>
    <col min="15618" max="15618" width="9.25" style="12" bestFit="1" customWidth="1"/>
    <col min="15619" max="15619" width="12.875" style="12" bestFit="1" customWidth="1"/>
    <col min="15620" max="15620" width="9.25" style="12" bestFit="1" customWidth="1"/>
    <col min="15621" max="15621" width="12.875" style="12" bestFit="1" customWidth="1"/>
    <col min="15622" max="15622" width="18" style="12" bestFit="1" customWidth="1"/>
    <col min="15623" max="15623" width="11.75" style="12" bestFit="1" customWidth="1"/>
    <col min="15624" max="15624" width="13" style="12" bestFit="1" customWidth="1"/>
    <col min="15625" max="15625" width="11.125" style="12" bestFit="1" customWidth="1"/>
    <col min="15626" max="15872" width="9" style="12"/>
    <col min="15873" max="15873" width="7.375" style="12" bestFit="1" customWidth="1"/>
    <col min="15874" max="15874" width="9.25" style="12" bestFit="1" customWidth="1"/>
    <col min="15875" max="15875" width="12.875" style="12" bestFit="1" customWidth="1"/>
    <col min="15876" max="15876" width="9.25" style="12" bestFit="1" customWidth="1"/>
    <col min="15877" max="15877" width="12.875" style="12" bestFit="1" customWidth="1"/>
    <col min="15878" max="15878" width="18" style="12" bestFit="1" customWidth="1"/>
    <col min="15879" max="15879" width="11.75" style="12" bestFit="1" customWidth="1"/>
    <col min="15880" max="15880" width="13" style="12" bestFit="1" customWidth="1"/>
    <col min="15881" max="15881" width="11.125" style="12" bestFit="1" customWidth="1"/>
    <col min="15882" max="16128" width="9" style="12"/>
    <col min="16129" max="16129" width="7.375" style="12" bestFit="1" customWidth="1"/>
    <col min="16130" max="16130" width="9.25" style="12" bestFit="1" customWidth="1"/>
    <col min="16131" max="16131" width="12.875" style="12" bestFit="1" customWidth="1"/>
    <col min="16132" max="16132" width="9.25" style="12" bestFit="1" customWidth="1"/>
    <col min="16133" max="16133" width="12.875" style="12" bestFit="1" customWidth="1"/>
    <col min="16134" max="16134" width="18" style="12" bestFit="1" customWidth="1"/>
    <col min="16135" max="16135" width="11.75" style="12" bestFit="1" customWidth="1"/>
    <col min="16136" max="16136" width="13" style="12" bestFit="1" customWidth="1"/>
    <col min="16137" max="16137" width="11.125" style="12" bestFit="1" customWidth="1"/>
    <col min="16138" max="16384" width="9" style="12"/>
  </cols>
  <sheetData>
    <row r="5" spans="1:9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125</v>
      </c>
      <c r="G5" s="4" t="s">
        <v>126</v>
      </c>
      <c r="H5" s="4" t="s">
        <v>127</v>
      </c>
      <c r="I5" s="4" t="s">
        <v>128</v>
      </c>
    </row>
    <row r="6" spans="1:9">
      <c r="A6" s="4" t="s">
        <v>129</v>
      </c>
      <c r="B6" s="4" t="s">
        <v>130</v>
      </c>
      <c r="C6" s="5">
        <v>42740</v>
      </c>
      <c r="D6" s="6">
        <v>4</v>
      </c>
      <c r="E6" s="7">
        <f>DATE(YEAR(C6),MONTH(C6)+D6,DAY(C6))</f>
        <v>42860</v>
      </c>
      <c r="F6" s="4" t="s">
        <v>131</v>
      </c>
      <c r="G6" s="15">
        <v>5000</v>
      </c>
      <c r="H6" s="15">
        <v>10000</v>
      </c>
      <c r="I6" s="8">
        <v>10000</v>
      </c>
    </row>
    <row r="7" spans="1:9">
      <c r="A7" s="4" t="s">
        <v>132</v>
      </c>
      <c r="B7" s="4" t="s">
        <v>130</v>
      </c>
      <c r="C7" s="5">
        <v>42787</v>
      </c>
      <c r="D7" s="6">
        <v>5</v>
      </c>
      <c r="E7" s="7">
        <f>DATE(YEAR(C7),MONTH(C7)+D7,DAY(C7))</f>
        <v>42937</v>
      </c>
      <c r="F7" s="4" t="s">
        <v>133</v>
      </c>
      <c r="G7" s="15">
        <v>20000</v>
      </c>
      <c r="H7" s="15">
        <v>100000</v>
      </c>
      <c r="I7" s="8">
        <v>100000</v>
      </c>
    </row>
    <row r="8" spans="1:9">
      <c r="A8" s="4" t="s">
        <v>134</v>
      </c>
      <c r="B8" s="4" t="s">
        <v>130</v>
      </c>
      <c r="C8" s="5">
        <v>42824</v>
      </c>
      <c r="D8" s="6">
        <v>2</v>
      </c>
      <c r="E8" s="7">
        <f>DATE(YEAR(C8),MONTH(C8)+D8,DAY(C8))</f>
        <v>42885</v>
      </c>
      <c r="F8" s="4" t="s">
        <v>135</v>
      </c>
      <c r="G8" s="15">
        <v>10000</v>
      </c>
      <c r="H8" s="15">
        <v>20000</v>
      </c>
      <c r="I8" s="8">
        <v>20000</v>
      </c>
    </row>
    <row r="9" spans="1:9">
      <c r="A9" s="4" t="s">
        <v>137</v>
      </c>
      <c r="B9" s="4" t="s">
        <v>130</v>
      </c>
      <c r="C9" s="5">
        <v>42855</v>
      </c>
      <c r="D9" s="6">
        <v>2</v>
      </c>
      <c r="E9" s="7">
        <f>DATE(YEAR(C9),MONTH(C9)+D9,DAY(C9))</f>
        <v>42916</v>
      </c>
      <c r="F9" s="4" t="s">
        <v>138</v>
      </c>
      <c r="G9" s="15">
        <v>10000</v>
      </c>
      <c r="H9" s="15">
        <v>20000</v>
      </c>
      <c r="I9" s="8">
        <v>20000</v>
      </c>
    </row>
    <row r="10" spans="1:9">
      <c r="A10" s="4" t="s">
        <v>9</v>
      </c>
      <c r="B10" s="4" t="s">
        <v>130</v>
      </c>
      <c r="C10" s="5">
        <v>42792</v>
      </c>
      <c r="D10" s="6">
        <v>3</v>
      </c>
      <c r="E10" s="7">
        <f>DATE(YEAR(C10),MONTH(C10)+D10,DAY(C10))</f>
        <v>42881</v>
      </c>
      <c r="F10" s="4" t="s">
        <v>135</v>
      </c>
      <c r="G10" s="15">
        <v>10000</v>
      </c>
      <c r="H10" s="15">
        <v>30000</v>
      </c>
      <c r="I10" s="8">
        <v>20000</v>
      </c>
    </row>
    <row r="11" spans="1:9">
      <c r="A11" s="4" t="s">
        <v>154</v>
      </c>
      <c r="B11" s="4" t="s">
        <v>130</v>
      </c>
      <c r="C11" s="5">
        <v>42869</v>
      </c>
      <c r="D11" s="6">
        <v>4</v>
      </c>
      <c r="E11" s="7">
        <f>DATE(YEAR(C11),MONTH(C11)+D11,DAY(C11))</f>
        <v>42992</v>
      </c>
      <c r="F11" s="4" t="s">
        <v>21</v>
      </c>
      <c r="G11" s="15">
        <v>25000</v>
      </c>
      <c r="H11" s="15">
        <v>100000</v>
      </c>
      <c r="I11" s="8">
        <v>100000</v>
      </c>
    </row>
    <row r="12" spans="1:9">
      <c r="A12" s="4" t="s">
        <v>17</v>
      </c>
      <c r="B12" s="4" t="s">
        <v>130</v>
      </c>
      <c r="C12" s="5">
        <v>42845</v>
      </c>
      <c r="D12" s="6">
        <v>4</v>
      </c>
      <c r="E12" s="7">
        <f>DATE(YEAR(C12),MONTH(C12)+D12,DAY(C12))</f>
        <v>42967</v>
      </c>
      <c r="F12" s="4" t="s">
        <v>155</v>
      </c>
      <c r="G12" s="15">
        <v>10000</v>
      </c>
      <c r="H12" s="15">
        <v>40000</v>
      </c>
      <c r="I12" s="8">
        <v>20000</v>
      </c>
    </row>
    <row r="13" spans="1:9">
      <c r="A13" s="4" t="s">
        <v>158</v>
      </c>
      <c r="B13" s="4" t="s">
        <v>130</v>
      </c>
      <c r="C13" s="5">
        <v>42875</v>
      </c>
      <c r="D13" s="6">
        <v>3</v>
      </c>
      <c r="E13" s="7">
        <f>DATE(YEAR(C13),MONTH(C13)+D13,DAY(C13))</f>
        <v>42967</v>
      </c>
      <c r="F13" s="4" t="s">
        <v>159</v>
      </c>
      <c r="G13" s="15">
        <v>15000</v>
      </c>
      <c r="H13" s="15">
        <v>45000</v>
      </c>
      <c r="I13" s="8">
        <v>20000</v>
      </c>
    </row>
    <row r="14" spans="1:9">
      <c r="A14" s="4" t="s">
        <v>160</v>
      </c>
      <c r="B14" s="4" t="s">
        <v>130</v>
      </c>
      <c r="C14" s="5">
        <v>42798</v>
      </c>
      <c r="D14" s="6">
        <v>2</v>
      </c>
      <c r="E14" s="7">
        <f>DATE(YEAR(C14),MONTH(C14)+D14,DAY(C14))</f>
        <v>42859</v>
      </c>
      <c r="F14" s="4" t="s">
        <v>161</v>
      </c>
      <c r="G14" s="15">
        <v>10000</v>
      </c>
      <c r="H14" s="15">
        <v>40000</v>
      </c>
      <c r="I14" s="8">
        <v>20000</v>
      </c>
    </row>
    <row r="15" spans="1:9">
      <c r="A15" s="4" t="s">
        <v>18</v>
      </c>
      <c r="B15" s="4" t="s">
        <v>136</v>
      </c>
      <c r="C15" s="5">
        <v>42847</v>
      </c>
      <c r="D15" s="6">
        <v>1</v>
      </c>
      <c r="E15" s="7">
        <f>DATE(YEAR(C15),MONTH(C15)+D15,DAY(C15))</f>
        <v>42877</v>
      </c>
      <c r="F15" s="4" t="s">
        <v>19</v>
      </c>
      <c r="G15" s="15">
        <v>10000</v>
      </c>
      <c r="H15" s="15">
        <v>40000</v>
      </c>
      <c r="I15" s="8">
        <v>40000</v>
      </c>
    </row>
    <row r="16" spans="1:9">
      <c r="A16" s="4" t="s">
        <v>139</v>
      </c>
      <c r="B16" s="4" t="s">
        <v>136</v>
      </c>
      <c r="C16" s="5">
        <v>42771</v>
      </c>
      <c r="D16" s="6">
        <v>3</v>
      </c>
      <c r="E16" s="7">
        <f>DATE(YEAR(C16),MONTH(C16)+D16,DAY(C16))</f>
        <v>42860</v>
      </c>
      <c r="F16" s="4" t="s">
        <v>140</v>
      </c>
      <c r="G16" s="15">
        <v>10000</v>
      </c>
      <c r="H16" s="15">
        <v>20000</v>
      </c>
      <c r="I16" s="8">
        <v>20000</v>
      </c>
    </row>
    <row r="17" spans="1:9">
      <c r="A17" s="4" t="s">
        <v>141</v>
      </c>
      <c r="B17" s="4" t="s">
        <v>136</v>
      </c>
      <c r="C17" s="5">
        <v>42803</v>
      </c>
      <c r="D17" s="6">
        <v>2</v>
      </c>
      <c r="E17" s="7">
        <f>DATE(YEAR(C17),MONTH(C17)+D17,DAY(C17))</f>
        <v>42864</v>
      </c>
      <c r="F17" s="4" t="s">
        <v>11</v>
      </c>
      <c r="G17" s="15">
        <v>15000</v>
      </c>
      <c r="H17" s="15">
        <v>75000</v>
      </c>
      <c r="I17" s="8">
        <v>25000</v>
      </c>
    </row>
    <row r="18" spans="1:9">
      <c r="A18" s="4" t="s">
        <v>142</v>
      </c>
      <c r="B18" s="4" t="s">
        <v>136</v>
      </c>
      <c r="C18" s="5">
        <v>42786</v>
      </c>
      <c r="D18" s="6">
        <v>3</v>
      </c>
      <c r="E18" s="7">
        <f>DATE(YEAR(C18),MONTH(C18)+D18,DAY(C18))</f>
        <v>42875</v>
      </c>
      <c r="F18" s="4" t="s">
        <v>143</v>
      </c>
      <c r="G18" s="15">
        <v>15000</v>
      </c>
      <c r="H18" s="15">
        <v>45000</v>
      </c>
      <c r="I18" s="8">
        <v>25000</v>
      </c>
    </row>
    <row r="19" spans="1:9">
      <c r="A19" s="4" t="s">
        <v>144</v>
      </c>
      <c r="B19" s="4" t="s">
        <v>136</v>
      </c>
      <c r="C19" s="5">
        <v>42767</v>
      </c>
      <c r="D19" s="6">
        <v>3</v>
      </c>
      <c r="E19" s="7">
        <f>DATE(YEAR(C19),MONTH(C19)+D19,DAY(C19))</f>
        <v>42856</v>
      </c>
      <c r="F19" s="4" t="s">
        <v>8</v>
      </c>
      <c r="G19" s="15">
        <v>10000</v>
      </c>
      <c r="H19" s="15">
        <v>40000</v>
      </c>
      <c r="I19" s="8">
        <v>40000</v>
      </c>
    </row>
    <row r="20" spans="1:9">
      <c r="A20" s="4" t="s">
        <v>145</v>
      </c>
      <c r="B20" s="4" t="s">
        <v>136</v>
      </c>
      <c r="C20" s="5">
        <v>42858</v>
      </c>
      <c r="D20" s="6">
        <v>3</v>
      </c>
      <c r="E20" s="7">
        <f>DATE(YEAR(C20),MONTH(C20)+D20,DAY(C20))</f>
        <v>42950</v>
      </c>
      <c r="F20" s="4" t="s">
        <v>146</v>
      </c>
      <c r="G20" s="15">
        <v>15000</v>
      </c>
      <c r="H20" s="15">
        <v>45000</v>
      </c>
      <c r="I20" s="8">
        <v>25000</v>
      </c>
    </row>
    <row r="21" spans="1:9">
      <c r="A21" s="4" t="s">
        <v>20</v>
      </c>
      <c r="B21" s="4" t="s">
        <v>136</v>
      </c>
      <c r="C21" s="5">
        <v>42864</v>
      </c>
      <c r="D21" s="6">
        <v>3</v>
      </c>
      <c r="E21" s="7">
        <f>DATE(YEAR(C21),MONTH(C21)+D21,DAY(C21))</f>
        <v>42956</v>
      </c>
      <c r="F21" s="4" t="s">
        <v>151</v>
      </c>
      <c r="G21" s="15">
        <v>30000</v>
      </c>
      <c r="H21" s="15">
        <v>90000</v>
      </c>
      <c r="I21" s="8">
        <v>90000</v>
      </c>
    </row>
    <row r="22" spans="1:9">
      <c r="A22" s="4" t="s">
        <v>152</v>
      </c>
      <c r="B22" s="4" t="s">
        <v>136</v>
      </c>
      <c r="C22" s="5">
        <v>42810</v>
      </c>
      <c r="D22" s="6">
        <v>3</v>
      </c>
      <c r="E22" s="7">
        <f>DATE(YEAR(C22),MONTH(C22)+D22,DAY(C22))</f>
        <v>42902</v>
      </c>
      <c r="F22" s="4" t="s">
        <v>153</v>
      </c>
      <c r="G22" s="15">
        <v>10000</v>
      </c>
      <c r="H22" s="15">
        <v>30000</v>
      </c>
      <c r="I22" s="8">
        <v>30000</v>
      </c>
    </row>
    <row r="23" spans="1:9">
      <c r="A23" s="4" t="s">
        <v>15</v>
      </c>
      <c r="B23" s="4" t="s">
        <v>136</v>
      </c>
      <c r="C23" s="5">
        <v>42840</v>
      </c>
      <c r="D23" s="6">
        <v>4</v>
      </c>
      <c r="E23" s="7">
        <f>DATE(YEAR(C23),MONTH(C23)+D23,DAY(C23))</f>
        <v>42962</v>
      </c>
      <c r="F23" s="4" t="s">
        <v>16</v>
      </c>
      <c r="G23" s="15">
        <v>10000</v>
      </c>
      <c r="H23" s="15">
        <v>40000</v>
      </c>
      <c r="I23" s="8">
        <v>20000</v>
      </c>
    </row>
    <row r="24" spans="1:9">
      <c r="A24" s="4" t="s">
        <v>156</v>
      </c>
      <c r="B24" s="4" t="s">
        <v>136</v>
      </c>
      <c r="C24" s="5">
        <v>42795</v>
      </c>
      <c r="D24" s="6">
        <v>5</v>
      </c>
      <c r="E24" s="7">
        <f>DATE(YEAR(C24),MONTH(C24)+D24,DAY(C24))</f>
        <v>42948</v>
      </c>
      <c r="F24" s="4" t="s">
        <v>157</v>
      </c>
      <c r="G24" s="15">
        <v>15000</v>
      </c>
      <c r="H24" s="15">
        <v>75000</v>
      </c>
      <c r="I24" s="8">
        <v>75000</v>
      </c>
    </row>
    <row r="25" spans="1:9">
      <c r="A25" s="4" t="s">
        <v>10</v>
      </c>
      <c r="B25" s="4" t="s">
        <v>136</v>
      </c>
      <c r="C25" s="5">
        <v>42769</v>
      </c>
      <c r="D25" s="6">
        <v>5</v>
      </c>
      <c r="E25" s="7">
        <f>DATE(YEAR(C25),MONTH(C25)+D25,DAY(C25))</f>
        <v>42919</v>
      </c>
      <c r="F25" s="4" t="s">
        <v>162</v>
      </c>
      <c r="G25" s="15">
        <v>35000</v>
      </c>
      <c r="H25" s="15">
        <v>175000</v>
      </c>
      <c r="I25" s="8">
        <v>175000</v>
      </c>
    </row>
    <row r="26" spans="1:9">
      <c r="A26" s="4" t="s">
        <v>147</v>
      </c>
      <c r="B26" s="4" t="s">
        <v>12</v>
      </c>
      <c r="C26" s="5">
        <v>42819</v>
      </c>
      <c r="D26" s="6">
        <v>6</v>
      </c>
      <c r="E26" s="7">
        <f>DATE(YEAR(C26),MONTH(C26)+D26,DAY(C26))</f>
        <v>43003</v>
      </c>
      <c r="F26" s="4" t="s">
        <v>148</v>
      </c>
      <c r="G26" s="15">
        <v>10000</v>
      </c>
      <c r="H26" s="15">
        <v>60000</v>
      </c>
      <c r="I26" s="8">
        <v>25000</v>
      </c>
    </row>
    <row r="27" spans="1:9">
      <c r="A27" s="4" t="s">
        <v>149</v>
      </c>
      <c r="B27" s="4" t="s">
        <v>12</v>
      </c>
      <c r="C27" s="5">
        <v>42861</v>
      </c>
      <c r="D27" s="6">
        <v>5</v>
      </c>
      <c r="E27" s="7">
        <f>DATE(YEAR(C27),MONTH(C27)+D27,DAY(C27))</f>
        <v>43014</v>
      </c>
      <c r="F27" s="4" t="s">
        <v>150</v>
      </c>
      <c r="G27" s="15">
        <v>30000</v>
      </c>
      <c r="H27" s="15">
        <v>150000</v>
      </c>
      <c r="I27" s="8">
        <v>150000</v>
      </c>
    </row>
    <row r="28" spans="1:9">
      <c r="A28" s="4" t="s">
        <v>13</v>
      </c>
      <c r="B28" s="4" t="s">
        <v>12</v>
      </c>
      <c r="C28" s="5">
        <v>42826</v>
      </c>
      <c r="D28" s="6">
        <v>1</v>
      </c>
      <c r="E28" s="7">
        <f>DATE(YEAR(C28),MONTH(C28)+D28,DAY(C28))</f>
        <v>42856</v>
      </c>
      <c r="F28" s="4" t="s">
        <v>14</v>
      </c>
      <c r="G28" s="15">
        <v>10000</v>
      </c>
      <c r="H28" s="15">
        <v>30000</v>
      </c>
      <c r="I28" s="8">
        <v>25000</v>
      </c>
    </row>
  </sheetData>
  <sortState ref="A6:I28">
    <sortCondition descending="1" ref="B6:B28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우수고객보기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7"/>
  <sheetViews>
    <sheetView workbookViewId="0">
      <selection activeCell="N22" sqref="N22"/>
    </sheetView>
  </sheetViews>
  <sheetFormatPr defaultColWidth="9" defaultRowHeight="16.5"/>
  <cols>
    <col min="1" max="1" width="9" style="12"/>
    <col min="2" max="2" width="11.125" style="12" bestFit="1" customWidth="1"/>
    <col min="3" max="3" width="12.5" style="12" customWidth="1"/>
    <col min="4" max="4" width="14" style="12" customWidth="1"/>
    <col min="5" max="16384" width="9" style="12"/>
  </cols>
  <sheetData>
    <row r="2" spans="2:4">
      <c r="B2" s="1" t="s">
        <v>87</v>
      </c>
      <c r="C2" s="2" t="s">
        <v>122</v>
      </c>
      <c r="D2" s="2" t="s">
        <v>123</v>
      </c>
    </row>
    <row r="3" spans="2:4">
      <c r="B3" s="1" t="s">
        <v>48</v>
      </c>
      <c r="C3" s="14">
        <v>7</v>
      </c>
      <c r="D3" s="2">
        <v>1750000</v>
      </c>
    </row>
    <row r="4" spans="2:4">
      <c r="B4" s="1" t="s">
        <v>99</v>
      </c>
      <c r="C4" s="14">
        <v>2</v>
      </c>
      <c r="D4" s="2">
        <v>380000</v>
      </c>
    </row>
    <row r="5" spans="2:4">
      <c r="B5" s="1" t="s">
        <v>93</v>
      </c>
      <c r="C5" s="14">
        <v>1</v>
      </c>
      <c r="D5" s="2">
        <v>1170000</v>
      </c>
    </row>
    <row r="6" spans="2:4">
      <c r="B6" s="3" t="s">
        <v>124</v>
      </c>
      <c r="C6" s="14">
        <v>15</v>
      </c>
      <c r="D6" s="2">
        <v>1180000</v>
      </c>
    </row>
    <row r="7" spans="2:4">
      <c r="B7" s="1" t="s">
        <v>112</v>
      </c>
      <c r="C7" s="14">
        <v>2</v>
      </c>
      <c r="D7" s="2">
        <v>390000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91"/>
  <sheetViews>
    <sheetView tabSelected="1" topLeftCell="C1" workbookViewId="0">
      <selection activeCell="L36" sqref="L36"/>
    </sheetView>
  </sheetViews>
  <sheetFormatPr defaultRowHeight="16.5"/>
  <cols>
    <col min="1" max="1" width="9" style="12"/>
    <col min="2" max="2" width="11" style="12" bestFit="1" customWidth="1"/>
    <col min="3" max="3" width="20.75" style="12" bestFit="1" customWidth="1"/>
    <col min="4" max="4" width="11.125" style="12" bestFit="1" customWidth="1"/>
    <col min="5" max="5" width="12.25" style="12" bestFit="1" customWidth="1"/>
    <col min="6" max="6" width="11.5" style="12" customWidth="1"/>
    <col min="7" max="7" width="11.75" style="12" bestFit="1" customWidth="1"/>
    <col min="8" max="8" width="13.125" style="12" bestFit="1" customWidth="1"/>
    <col min="9" max="257" width="9" style="12"/>
    <col min="258" max="258" width="11" style="12" bestFit="1" customWidth="1"/>
    <col min="259" max="259" width="20.75" style="12" bestFit="1" customWidth="1"/>
    <col min="260" max="260" width="11.125" style="12" bestFit="1" customWidth="1"/>
    <col min="261" max="261" width="12.25" style="12" bestFit="1" customWidth="1"/>
    <col min="262" max="262" width="11.5" style="12" customWidth="1"/>
    <col min="263" max="263" width="11.75" style="12" bestFit="1" customWidth="1"/>
    <col min="264" max="264" width="13.125" style="12" bestFit="1" customWidth="1"/>
    <col min="265" max="513" width="9" style="12"/>
    <col min="514" max="514" width="11" style="12" bestFit="1" customWidth="1"/>
    <col min="515" max="515" width="20.75" style="12" bestFit="1" customWidth="1"/>
    <col min="516" max="516" width="11.125" style="12" bestFit="1" customWidth="1"/>
    <col min="517" max="517" width="12.25" style="12" bestFit="1" customWidth="1"/>
    <col min="518" max="518" width="11.5" style="12" customWidth="1"/>
    <col min="519" max="519" width="11.75" style="12" bestFit="1" customWidth="1"/>
    <col min="520" max="520" width="13.125" style="12" bestFit="1" customWidth="1"/>
    <col min="521" max="769" width="9" style="12"/>
    <col min="770" max="770" width="11" style="12" bestFit="1" customWidth="1"/>
    <col min="771" max="771" width="20.75" style="12" bestFit="1" customWidth="1"/>
    <col min="772" max="772" width="11.125" style="12" bestFit="1" customWidth="1"/>
    <col min="773" max="773" width="12.25" style="12" bestFit="1" customWidth="1"/>
    <col min="774" max="774" width="11.5" style="12" customWidth="1"/>
    <col min="775" max="775" width="11.75" style="12" bestFit="1" customWidth="1"/>
    <col min="776" max="776" width="13.125" style="12" bestFit="1" customWidth="1"/>
    <col min="777" max="1025" width="9" style="12"/>
    <col min="1026" max="1026" width="11" style="12" bestFit="1" customWidth="1"/>
    <col min="1027" max="1027" width="20.75" style="12" bestFit="1" customWidth="1"/>
    <col min="1028" max="1028" width="11.125" style="12" bestFit="1" customWidth="1"/>
    <col min="1029" max="1029" width="12.25" style="12" bestFit="1" customWidth="1"/>
    <col min="1030" max="1030" width="11.5" style="12" customWidth="1"/>
    <col min="1031" max="1031" width="11.75" style="12" bestFit="1" customWidth="1"/>
    <col min="1032" max="1032" width="13.125" style="12" bestFit="1" customWidth="1"/>
    <col min="1033" max="1281" width="9" style="12"/>
    <col min="1282" max="1282" width="11" style="12" bestFit="1" customWidth="1"/>
    <col min="1283" max="1283" width="20.75" style="12" bestFit="1" customWidth="1"/>
    <col min="1284" max="1284" width="11.125" style="12" bestFit="1" customWidth="1"/>
    <col min="1285" max="1285" width="12.25" style="12" bestFit="1" customWidth="1"/>
    <col min="1286" max="1286" width="11.5" style="12" customWidth="1"/>
    <col min="1287" max="1287" width="11.75" style="12" bestFit="1" customWidth="1"/>
    <col min="1288" max="1288" width="13.125" style="12" bestFit="1" customWidth="1"/>
    <col min="1289" max="1537" width="9" style="12"/>
    <col min="1538" max="1538" width="11" style="12" bestFit="1" customWidth="1"/>
    <col min="1539" max="1539" width="20.75" style="12" bestFit="1" customWidth="1"/>
    <col min="1540" max="1540" width="11.125" style="12" bestFit="1" customWidth="1"/>
    <col min="1541" max="1541" width="12.25" style="12" bestFit="1" customWidth="1"/>
    <col min="1542" max="1542" width="11.5" style="12" customWidth="1"/>
    <col min="1543" max="1543" width="11.75" style="12" bestFit="1" customWidth="1"/>
    <col min="1544" max="1544" width="13.125" style="12" bestFit="1" customWidth="1"/>
    <col min="1545" max="1793" width="9" style="12"/>
    <col min="1794" max="1794" width="11" style="12" bestFit="1" customWidth="1"/>
    <col min="1795" max="1795" width="20.75" style="12" bestFit="1" customWidth="1"/>
    <col min="1796" max="1796" width="11.125" style="12" bestFit="1" customWidth="1"/>
    <col min="1797" max="1797" width="12.25" style="12" bestFit="1" customWidth="1"/>
    <col min="1798" max="1798" width="11.5" style="12" customWidth="1"/>
    <col min="1799" max="1799" width="11.75" style="12" bestFit="1" customWidth="1"/>
    <col min="1800" max="1800" width="13.125" style="12" bestFit="1" customWidth="1"/>
    <col min="1801" max="2049" width="9" style="12"/>
    <col min="2050" max="2050" width="11" style="12" bestFit="1" customWidth="1"/>
    <col min="2051" max="2051" width="20.75" style="12" bestFit="1" customWidth="1"/>
    <col min="2052" max="2052" width="11.125" style="12" bestFit="1" customWidth="1"/>
    <col min="2053" max="2053" width="12.25" style="12" bestFit="1" customWidth="1"/>
    <col min="2054" max="2054" width="11.5" style="12" customWidth="1"/>
    <col min="2055" max="2055" width="11.75" style="12" bestFit="1" customWidth="1"/>
    <col min="2056" max="2056" width="13.125" style="12" bestFit="1" customWidth="1"/>
    <col min="2057" max="2305" width="9" style="12"/>
    <col min="2306" max="2306" width="11" style="12" bestFit="1" customWidth="1"/>
    <col min="2307" max="2307" width="20.75" style="12" bestFit="1" customWidth="1"/>
    <col min="2308" max="2308" width="11.125" style="12" bestFit="1" customWidth="1"/>
    <col min="2309" max="2309" width="12.25" style="12" bestFit="1" customWidth="1"/>
    <col min="2310" max="2310" width="11.5" style="12" customWidth="1"/>
    <col min="2311" max="2311" width="11.75" style="12" bestFit="1" customWidth="1"/>
    <col min="2312" max="2312" width="13.125" style="12" bestFit="1" customWidth="1"/>
    <col min="2313" max="2561" width="9" style="12"/>
    <col min="2562" max="2562" width="11" style="12" bestFit="1" customWidth="1"/>
    <col min="2563" max="2563" width="20.75" style="12" bestFit="1" customWidth="1"/>
    <col min="2564" max="2564" width="11.125" style="12" bestFit="1" customWidth="1"/>
    <col min="2565" max="2565" width="12.25" style="12" bestFit="1" customWidth="1"/>
    <col min="2566" max="2566" width="11.5" style="12" customWidth="1"/>
    <col min="2567" max="2567" width="11.75" style="12" bestFit="1" customWidth="1"/>
    <col min="2568" max="2568" width="13.125" style="12" bestFit="1" customWidth="1"/>
    <col min="2569" max="2817" width="9" style="12"/>
    <col min="2818" max="2818" width="11" style="12" bestFit="1" customWidth="1"/>
    <col min="2819" max="2819" width="20.75" style="12" bestFit="1" customWidth="1"/>
    <col min="2820" max="2820" width="11.125" style="12" bestFit="1" customWidth="1"/>
    <col min="2821" max="2821" width="12.25" style="12" bestFit="1" customWidth="1"/>
    <col min="2822" max="2822" width="11.5" style="12" customWidth="1"/>
    <col min="2823" max="2823" width="11.75" style="12" bestFit="1" customWidth="1"/>
    <col min="2824" max="2824" width="13.125" style="12" bestFit="1" customWidth="1"/>
    <col min="2825" max="3073" width="9" style="12"/>
    <col min="3074" max="3074" width="11" style="12" bestFit="1" customWidth="1"/>
    <col min="3075" max="3075" width="20.75" style="12" bestFit="1" customWidth="1"/>
    <col min="3076" max="3076" width="11.125" style="12" bestFit="1" customWidth="1"/>
    <col min="3077" max="3077" width="12.25" style="12" bestFit="1" customWidth="1"/>
    <col min="3078" max="3078" width="11.5" style="12" customWidth="1"/>
    <col min="3079" max="3079" width="11.75" style="12" bestFit="1" customWidth="1"/>
    <col min="3080" max="3080" width="13.125" style="12" bestFit="1" customWidth="1"/>
    <col min="3081" max="3329" width="9" style="12"/>
    <col min="3330" max="3330" width="11" style="12" bestFit="1" customWidth="1"/>
    <col min="3331" max="3331" width="20.75" style="12" bestFit="1" customWidth="1"/>
    <col min="3332" max="3332" width="11.125" style="12" bestFit="1" customWidth="1"/>
    <col min="3333" max="3333" width="12.25" style="12" bestFit="1" customWidth="1"/>
    <col min="3334" max="3334" width="11.5" style="12" customWidth="1"/>
    <col min="3335" max="3335" width="11.75" style="12" bestFit="1" customWidth="1"/>
    <col min="3336" max="3336" width="13.125" style="12" bestFit="1" customWidth="1"/>
    <col min="3337" max="3585" width="9" style="12"/>
    <col min="3586" max="3586" width="11" style="12" bestFit="1" customWidth="1"/>
    <col min="3587" max="3587" width="20.75" style="12" bestFit="1" customWidth="1"/>
    <col min="3588" max="3588" width="11.125" style="12" bestFit="1" customWidth="1"/>
    <col min="3589" max="3589" width="12.25" style="12" bestFit="1" customWidth="1"/>
    <col min="3590" max="3590" width="11.5" style="12" customWidth="1"/>
    <col min="3591" max="3591" width="11.75" style="12" bestFit="1" customWidth="1"/>
    <col min="3592" max="3592" width="13.125" style="12" bestFit="1" customWidth="1"/>
    <col min="3593" max="3841" width="9" style="12"/>
    <col min="3842" max="3842" width="11" style="12" bestFit="1" customWidth="1"/>
    <col min="3843" max="3843" width="20.75" style="12" bestFit="1" customWidth="1"/>
    <col min="3844" max="3844" width="11.125" style="12" bestFit="1" customWidth="1"/>
    <col min="3845" max="3845" width="12.25" style="12" bestFit="1" customWidth="1"/>
    <col min="3846" max="3846" width="11.5" style="12" customWidth="1"/>
    <col min="3847" max="3847" width="11.75" style="12" bestFit="1" customWidth="1"/>
    <col min="3848" max="3848" width="13.125" style="12" bestFit="1" customWidth="1"/>
    <col min="3849" max="4097" width="9" style="12"/>
    <col min="4098" max="4098" width="11" style="12" bestFit="1" customWidth="1"/>
    <col min="4099" max="4099" width="20.75" style="12" bestFit="1" customWidth="1"/>
    <col min="4100" max="4100" width="11.125" style="12" bestFit="1" customWidth="1"/>
    <col min="4101" max="4101" width="12.25" style="12" bestFit="1" customWidth="1"/>
    <col min="4102" max="4102" width="11.5" style="12" customWidth="1"/>
    <col min="4103" max="4103" width="11.75" style="12" bestFit="1" customWidth="1"/>
    <col min="4104" max="4104" width="13.125" style="12" bestFit="1" customWidth="1"/>
    <col min="4105" max="4353" width="9" style="12"/>
    <col min="4354" max="4354" width="11" style="12" bestFit="1" customWidth="1"/>
    <col min="4355" max="4355" width="20.75" style="12" bestFit="1" customWidth="1"/>
    <col min="4356" max="4356" width="11.125" style="12" bestFit="1" customWidth="1"/>
    <col min="4357" max="4357" width="12.25" style="12" bestFit="1" customWidth="1"/>
    <col min="4358" max="4358" width="11.5" style="12" customWidth="1"/>
    <col min="4359" max="4359" width="11.75" style="12" bestFit="1" customWidth="1"/>
    <col min="4360" max="4360" width="13.125" style="12" bestFit="1" customWidth="1"/>
    <col min="4361" max="4609" width="9" style="12"/>
    <col min="4610" max="4610" width="11" style="12" bestFit="1" customWidth="1"/>
    <col min="4611" max="4611" width="20.75" style="12" bestFit="1" customWidth="1"/>
    <col min="4612" max="4612" width="11.125" style="12" bestFit="1" customWidth="1"/>
    <col min="4613" max="4613" width="12.25" style="12" bestFit="1" customWidth="1"/>
    <col min="4614" max="4614" width="11.5" style="12" customWidth="1"/>
    <col min="4615" max="4615" width="11.75" style="12" bestFit="1" customWidth="1"/>
    <col min="4616" max="4616" width="13.125" style="12" bestFit="1" customWidth="1"/>
    <col min="4617" max="4865" width="9" style="12"/>
    <col min="4866" max="4866" width="11" style="12" bestFit="1" customWidth="1"/>
    <col min="4867" max="4867" width="20.75" style="12" bestFit="1" customWidth="1"/>
    <col min="4868" max="4868" width="11.125" style="12" bestFit="1" customWidth="1"/>
    <col min="4869" max="4869" width="12.25" style="12" bestFit="1" customWidth="1"/>
    <col min="4870" max="4870" width="11.5" style="12" customWidth="1"/>
    <col min="4871" max="4871" width="11.75" style="12" bestFit="1" customWidth="1"/>
    <col min="4872" max="4872" width="13.125" style="12" bestFit="1" customWidth="1"/>
    <col min="4873" max="5121" width="9" style="12"/>
    <col min="5122" max="5122" width="11" style="12" bestFit="1" customWidth="1"/>
    <col min="5123" max="5123" width="20.75" style="12" bestFit="1" customWidth="1"/>
    <col min="5124" max="5124" width="11.125" style="12" bestFit="1" customWidth="1"/>
    <col min="5125" max="5125" width="12.25" style="12" bestFit="1" customWidth="1"/>
    <col min="5126" max="5126" width="11.5" style="12" customWidth="1"/>
    <col min="5127" max="5127" width="11.75" style="12" bestFit="1" customWidth="1"/>
    <col min="5128" max="5128" width="13.125" style="12" bestFit="1" customWidth="1"/>
    <col min="5129" max="5377" width="9" style="12"/>
    <col min="5378" max="5378" width="11" style="12" bestFit="1" customWidth="1"/>
    <col min="5379" max="5379" width="20.75" style="12" bestFit="1" customWidth="1"/>
    <col min="5380" max="5380" width="11.125" style="12" bestFit="1" customWidth="1"/>
    <col min="5381" max="5381" width="12.25" style="12" bestFit="1" customWidth="1"/>
    <col min="5382" max="5382" width="11.5" style="12" customWidth="1"/>
    <col min="5383" max="5383" width="11.75" style="12" bestFit="1" customWidth="1"/>
    <col min="5384" max="5384" width="13.125" style="12" bestFit="1" customWidth="1"/>
    <col min="5385" max="5633" width="9" style="12"/>
    <col min="5634" max="5634" width="11" style="12" bestFit="1" customWidth="1"/>
    <col min="5635" max="5635" width="20.75" style="12" bestFit="1" customWidth="1"/>
    <col min="5636" max="5636" width="11.125" style="12" bestFit="1" customWidth="1"/>
    <col min="5637" max="5637" width="12.25" style="12" bestFit="1" customWidth="1"/>
    <col min="5638" max="5638" width="11.5" style="12" customWidth="1"/>
    <col min="5639" max="5639" width="11.75" style="12" bestFit="1" customWidth="1"/>
    <col min="5640" max="5640" width="13.125" style="12" bestFit="1" customWidth="1"/>
    <col min="5641" max="5889" width="9" style="12"/>
    <col min="5890" max="5890" width="11" style="12" bestFit="1" customWidth="1"/>
    <col min="5891" max="5891" width="20.75" style="12" bestFit="1" customWidth="1"/>
    <col min="5892" max="5892" width="11.125" style="12" bestFit="1" customWidth="1"/>
    <col min="5893" max="5893" width="12.25" style="12" bestFit="1" customWidth="1"/>
    <col min="5894" max="5894" width="11.5" style="12" customWidth="1"/>
    <col min="5895" max="5895" width="11.75" style="12" bestFit="1" customWidth="1"/>
    <col min="5896" max="5896" width="13.125" style="12" bestFit="1" customWidth="1"/>
    <col min="5897" max="6145" width="9" style="12"/>
    <col min="6146" max="6146" width="11" style="12" bestFit="1" customWidth="1"/>
    <col min="6147" max="6147" width="20.75" style="12" bestFit="1" customWidth="1"/>
    <col min="6148" max="6148" width="11.125" style="12" bestFit="1" customWidth="1"/>
    <col min="6149" max="6149" width="12.25" style="12" bestFit="1" customWidth="1"/>
    <col min="6150" max="6150" width="11.5" style="12" customWidth="1"/>
    <col min="6151" max="6151" width="11.75" style="12" bestFit="1" customWidth="1"/>
    <col min="6152" max="6152" width="13.125" style="12" bestFit="1" customWidth="1"/>
    <col min="6153" max="6401" width="9" style="12"/>
    <col min="6402" max="6402" width="11" style="12" bestFit="1" customWidth="1"/>
    <col min="6403" max="6403" width="20.75" style="12" bestFit="1" customWidth="1"/>
    <col min="6404" max="6404" width="11.125" style="12" bestFit="1" customWidth="1"/>
    <col min="6405" max="6405" width="12.25" style="12" bestFit="1" customWidth="1"/>
    <col min="6406" max="6406" width="11.5" style="12" customWidth="1"/>
    <col min="6407" max="6407" width="11.75" style="12" bestFit="1" customWidth="1"/>
    <col min="6408" max="6408" width="13.125" style="12" bestFit="1" customWidth="1"/>
    <col min="6409" max="6657" width="9" style="12"/>
    <col min="6658" max="6658" width="11" style="12" bestFit="1" customWidth="1"/>
    <col min="6659" max="6659" width="20.75" style="12" bestFit="1" customWidth="1"/>
    <col min="6660" max="6660" width="11.125" style="12" bestFit="1" customWidth="1"/>
    <col min="6661" max="6661" width="12.25" style="12" bestFit="1" customWidth="1"/>
    <col min="6662" max="6662" width="11.5" style="12" customWidth="1"/>
    <col min="6663" max="6663" width="11.75" style="12" bestFit="1" customWidth="1"/>
    <col min="6664" max="6664" width="13.125" style="12" bestFit="1" customWidth="1"/>
    <col min="6665" max="6913" width="9" style="12"/>
    <col min="6914" max="6914" width="11" style="12" bestFit="1" customWidth="1"/>
    <col min="6915" max="6915" width="20.75" style="12" bestFit="1" customWidth="1"/>
    <col min="6916" max="6916" width="11.125" style="12" bestFit="1" customWidth="1"/>
    <col min="6917" max="6917" width="12.25" style="12" bestFit="1" customWidth="1"/>
    <col min="6918" max="6918" width="11.5" style="12" customWidth="1"/>
    <col min="6919" max="6919" width="11.75" style="12" bestFit="1" customWidth="1"/>
    <col min="6920" max="6920" width="13.125" style="12" bestFit="1" customWidth="1"/>
    <col min="6921" max="7169" width="9" style="12"/>
    <col min="7170" max="7170" width="11" style="12" bestFit="1" customWidth="1"/>
    <col min="7171" max="7171" width="20.75" style="12" bestFit="1" customWidth="1"/>
    <col min="7172" max="7172" width="11.125" style="12" bestFit="1" customWidth="1"/>
    <col min="7173" max="7173" width="12.25" style="12" bestFit="1" customWidth="1"/>
    <col min="7174" max="7174" width="11.5" style="12" customWidth="1"/>
    <col min="7175" max="7175" width="11.75" style="12" bestFit="1" customWidth="1"/>
    <col min="7176" max="7176" width="13.125" style="12" bestFit="1" customWidth="1"/>
    <col min="7177" max="7425" width="9" style="12"/>
    <col min="7426" max="7426" width="11" style="12" bestFit="1" customWidth="1"/>
    <col min="7427" max="7427" width="20.75" style="12" bestFit="1" customWidth="1"/>
    <col min="7428" max="7428" width="11.125" style="12" bestFit="1" customWidth="1"/>
    <col min="7429" max="7429" width="12.25" style="12" bestFit="1" customWidth="1"/>
    <col min="7430" max="7430" width="11.5" style="12" customWidth="1"/>
    <col min="7431" max="7431" width="11.75" style="12" bestFit="1" customWidth="1"/>
    <col min="7432" max="7432" width="13.125" style="12" bestFit="1" customWidth="1"/>
    <col min="7433" max="7681" width="9" style="12"/>
    <col min="7682" max="7682" width="11" style="12" bestFit="1" customWidth="1"/>
    <col min="7683" max="7683" width="20.75" style="12" bestFit="1" customWidth="1"/>
    <col min="7684" max="7684" width="11.125" style="12" bestFit="1" customWidth="1"/>
    <col min="7685" max="7685" width="12.25" style="12" bestFit="1" customWidth="1"/>
    <col min="7686" max="7686" width="11.5" style="12" customWidth="1"/>
    <col min="7687" max="7687" width="11.75" style="12" bestFit="1" customWidth="1"/>
    <col min="7688" max="7688" width="13.125" style="12" bestFit="1" customWidth="1"/>
    <col min="7689" max="7937" width="9" style="12"/>
    <col min="7938" max="7938" width="11" style="12" bestFit="1" customWidth="1"/>
    <col min="7939" max="7939" width="20.75" style="12" bestFit="1" customWidth="1"/>
    <col min="7940" max="7940" width="11.125" style="12" bestFit="1" customWidth="1"/>
    <col min="7941" max="7941" width="12.25" style="12" bestFit="1" customWidth="1"/>
    <col min="7942" max="7942" width="11.5" style="12" customWidth="1"/>
    <col min="7943" max="7943" width="11.75" style="12" bestFit="1" customWidth="1"/>
    <col min="7944" max="7944" width="13.125" style="12" bestFit="1" customWidth="1"/>
    <col min="7945" max="8193" width="9" style="12"/>
    <col min="8194" max="8194" width="11" style="12" bestFit="1" customWidth="1"/>
    <col min="8195" max="8195" width="20.75" style="12" bestFit="1" customWidth="1"/>
    <col min="8196" max="8196" width="11.125" style="12" bestFit="1" customWidth="1"/>
    <col min="8197" max="8197" width="12.25" style="12" bestFit="1" customWidth="1"/>
    <col min="8198" max="8198" width="11.5" style="12" customWidth="1"/>
    <col min="8199" max="8199" width="11.75" style="12" bestFit="1" customWidth="1"/>
    <col min="8200" max="8200" width="13.125" style="12" bestFit="1" customWidth="1"/>
    <col min="8201" max="8449" width="9" style="12"/>
    <col min="8450" max="8450" width="11" style="12" bestFit="1" customWidth="1"/>
    <col min="8451" max="8451" width="20.75" style="12" bestFit="1" customWidth="1"/>
    <col min="8452" max="8452" width="11.125" style="12" bestFit="1" customWidth="1"/>
    <col min="8453" max="8453" width="12.25" style="12" bestFit="1" customWidth="1"/>
    <col min="8454" max="8454" width="11.5" style="12" customWidth="1"/>
    <col min="8455" max="8455" width="11.75" style="12" bestFit="1" customWidth="1"/>
    <col min="8456" max="8456" width="13.125" style="12" bestFit="1" customWidth="1"/>
    <col min="8457" max="8705" width="9" style="12"/>
    <col min="8706" max="8706" width="11" style="12" bestFit="1" customWidth="1"/>
    <col min="8707" max="8707" width="20.75" style="12" bestFit="1" customWidth="1"/>
    <col min="8708" max="8708" width="11.125" style="12" bestFit="1" customWidth="1"/>
    <col min="8709" max="8709" width="12.25" style="12" bestFit="1" customWidth="1"/>
    <col min="8710" max="8710" width="11.5" style="12" customWidth="1"/>
    <col min="8711" max="8711" width="11.75" style="12" bestFit="1" customWidth="1"/>
    <col min="8712" max="8712" width="13.125" style="12" bestFit="1" customWidth="1"/>
    <col min="8713" max="8961" width="9" style="12"/>
    <col min="8962" max="8962" width="11" style="12" bestFit="1" customWidth="1"/>
    <col min="8963" max="8963" width="20.75" style="12" bestFit="1" customWidth="1"/>
    <col min="8964" max="8964" width="11.125" style="12" bestFit="1" customWidth="1"/>
    <col min="8965" max="8965" width="12.25" style="12" bestFit="1" customWidth="1"/>
    <col min="8966" max="8966" width="11.5" style="12" customWidth="1"/>
    <col min="8967" max="8967" width="11.75" style="12" bestFit="1" customWidth="1"/>
    <col min="8968" max="8968" width="13.125" style="12" bestFit="1" customWidth="1"/>
    <col min="8969" max="9217" width="9" style="12"/>
    <col min="9218" max="9218" width="11" style="12" bestFit="1" customWidth="1"/>
    <col min="9219" max="9219" width="20.75" style="12" bestFit="1" customWidth="1"/>
    <col min="9220" max="9220" width="11.125" style="12" bestFit="1" customWidth="1"/>
    <col min="9221" max="9221" width="12.25" style="12" bestFit="1" customWidth="1"/>
    <col min="9222" max="9222" width="11.5" style="12" customWidth="1"/>
    <col min="9223" max="9223" width="11.75" style="12" bestFit="1" customWidth="1"/>
    <col min="9224" max="9224" width="13.125" style="12" bestFit="1" customWidth="1"/>
    <col min="9225" max="9473" width="9" style="12"/>
    <col min="9474" max="9474" width="11" style="12" bestFit="1" customWidth="1"/>
    <col min="9475" max="9475" width="20.75" style="12" bestFit="1" customWidth="1"/>
    <col min="9476" max="9476" width="11.125" style="12" bestFit="1" customWidth="1"/>
    <col min="9477" max="9477" width="12.25" style="12" bestFit="1" customWidth="1"/>
    <col min="9478" max="9478" width="11.5" style="12" customWidth="1"/>
    <col min="9479" max="9479" width="11.75" style="12" bestFit="1" customWidth="1"/>
    <col min="9480" max="9480" width="13.125" style="12" bestFit="1" customWidth="1"/>
    <col min="9481" max="9729" width="9" style="12"/>
    <col min="9730" max="9730" width="11" style="12" bestFit="1" customWidth="1"/>
    <col min="9731" max="9731" width="20.75" style="12" bestFit="1" customWidth="1"/>
    <col min="9732" max="9732" width="11.125" style="12" bestFit="1" customWidth="1"/>
    <col min="9733" max="9733" width="12.25" style="12" bestFit="1" customWidth="1"/>
    <col min="9734" max="9734" width="11.5" style="12" customWidth="1"/>
    <col min="9735" max="9735" width="11.75" style="12" bestFit="1" customWidth="1"/>
    <col min="9736" max="9736" width="13.125" style="12" bestFit="1" customWidth="1"/>
    <col min="9737" max="9985" width="9" style="12"/>
    <col min="9986" max="9986" width="11" style="12" bestFit="1" customWidth="1"/>
    <col min="9987" max="9987" width="20.75" style="12" bestFit="1" customWidth="1"/>
    <col min="9988" max="9988" width="11.125" style="12" bestFit="1" customWidth="1"/>
    <col min="9989" max="9989" width="12.25" style="12" bestFit="1" customWidth="1"/>
    <col min="9990" max="9990" width="11.5" style="12" customWidth="1"/>
    <col min="9991" max="9991" width="11.75" style="12" bestFit="1" customWidth="1"/>
    <col min="9992" max="9992" width="13.125" style="12" bestFit="1" customWidth="1"/>
    <col min="9993" max="10241" width="9" style="12"/>
    <col min="10242" max="10242" width="11" style="12" bestFit="1" customWidth="1"/>
    <col min="10243" max="10243" width="20.75" style="12" bestFit="1" customWidth="1"/>
    <col min="10244" max="10244" width="11.125" style="12" bestFit="1" customWidth="1"/>
    <col min="10245" max="10245" width="12.25" style="12" bestFit="1" customWidth="1"/>
    <col min="10246" max="10246" width="11.5" style="12" customWidth="1"/>
    <col min="10247" max="10247" width="11.75" style="12" bestFit="1" customWidth="1"/>
    <col min="10248" max="10248" width="13.125" style="12" bestFit="1" customWidth="1"/>
    <col min="10249" max="10497" width="9" style="12"/>
    <col min="10498" max="10498" width="11" style="12" bestFit="1" customWidth="1"/>
    <col min="10499" max="10499" width="20.75" style="12" bestFit="1" customWidth="1"/>
    <col min="10500" max="10500" width="11.125" style="12" bestFit="1" customWidth="1"/>
    <col min="10501" max="10501" width="12.25" style="12" bestFit="1" customWidth="1"/>
    <col min="10502" max="10502" width="11.5" style="12" customWidth="1"/>
    <col min="10503" max="10503" width="11.75" style="12" bestFit="1" customWidth="1"/>
    <col min="10504" max="10504" width="13.125" style="12" bestFit="1" customWidth="1"/>
    <col min="10505" max="10753" width="9" style="12"/>
    <col min="10754" max="10754" width="11" style="12" bestFit="1" customWidth="1"/>
    <col min="10755" max="10755" width="20.75" style="12" bestFit="1" customWidth="1"/>
    <col min="10756" max="10756" width="11.125" style="12" bestFit="1" customWidth="1"/>
    <col min="10757" max="10757" width="12.25" style="12" bestFit="1" customWidth="1"/>
    <col min="10758" max="10758" width="11.5" style="12" customWidth="1"/>
    <col min="10759" max="10759" width="11.75" style="12" bestFit="1" customWidth="1"/>
    <col min="10760" max="10760" width="13.125" style="12" bestFit="1" customWidth="1"/>
    <col min="10761" max="11009" width="9" style="12"/>
    <col min="11010" max="11010" width="11" style="12" bestFit="1" customWidth="1"/>
    <col min="11011" max="11011" width="20.75" style="12" bestFit="1" customWidth="1"/>
    <col min="11012" max="11012" width="11.125" style="12" bestFit="1" customWidth="1"/>
    <col min="11013" max="11013" width="12.25" style="12" bestFit="1" customWidth="1"/>
    <col min="11014" max="11014" width="11.5" style="12" customWidth="1"/>
    <col min="11015" max="11015" width="11.75" style="12" bestFit="1" customWidth="1"/>
    <col min="11016" max="11016" width="13.125" style="12" bestFit="1" customWidth="1"/>
    <col min="11017" max="11265" width="9" style="12"/>
    <col min="11266" max="11266" width="11" style="12" bestFit="1" customWidth="1"/>
    <col min="11267" max="11267" width="20.75" style="12" bestFit="1" customWidth="1"/>
    <col min="11268" max="11268" width="11.125" style="12" bestFit="1" customWidth="1"/>
    <col min="11269" max="11269" width="12.25" style="12" bestFit="1" customWidth="1"/>
    <col min="11270" max="11270" width="11.5" style="12" customWidth="1"/>
    <col min="11271" max="11271" width="11.75" style="12" bestFit="1" customWidth="1"/>
    <col min="11272" max="11272" width="13.125" style="12" bestFit="1" customWidth="1"/>
    <col min="11273" max="11521" width="9" style="12"/>
    <col min="11522" max="11522" width="11" style="12" bestFit="1" customWidth="1"/>
    <col min="11523" max="11523" width="20.75" style="12" bestFit="1" customWidth="1"/>
    <col min="11524" max="11524" width="11.125" style="12" bestFit="1" customWidth="1"/>
    <col min="11525" max="11525" width="12.25" style="12" bestFit="1" customWidth="1"/>
    <col min="11526" max="11526" width="11.5" style="12" customWidth="1"/>
    <col min="11527" max="11527" width="11.75" style="12" bestFit="1" customWidth="1"/>
    <col min="11528" max="11528" width="13.125" style="12" bestFit="1" customWidth="1"/>
    <col min="11529" max="11777" width="9" style="12"/>
    <col min="11778" max="11778" width="11" style="12" bestFit="1" customWidth="1"/>
    <col min="11779" max="11779" width="20.75" style="12" bestFit="1" customWidth="1"/>
    <col min="11780" max="11780" width="11.125" style="12" bestFit="1" customWidth="1"/>
    <col min="11781" max="11781" width="12.25" style="12" bestFit="1" customWidth="1"/>
    <col min="11782" max="11782" width="11.5" style="12" customWidth="1"/>
    <col min="11783" max="11783" width="11.75" style="12" bestFit="1" customWidth="1"/>
    <col min="11784" max="11784" width="13.125" style="12" bestFit="1" customWidth="1"/>
    <col min="11785" max="12033" width="9" style="12"/>
    <col min="12034" max="12034" width="11" style="12" bestFit="1" customWidth="1"/>
    <col min="12035" max="12035" width="20.75" style="12" bestFit="1" customWidth="1"/>
    <col min="12036" max="12036" width="11.125" style="12" bestFit="1" customWidth="1"/>
    <col min="12037" max="12037" width="12.25" style="12" bestFit="1" customWidth="1"/>
    <col min="12038" max="12038" width="11.5" style="12" customWidth="1"/>
    <col min="12039" max="12039" width="11.75" style="12" bestFit="1" customWidth="1"/>
    <col min="12040" max="12040" width="13.125" style="12" bestFit="1" customWidth="1"/>
    <col min="12041" max="12289" width="9" style="12"/>
    <col min="12290" max="12290" width="11" style="12" bestFit="1" customWidth="1"/>
    <col min="12291" max="12291" width="20.75" style="12" bestFit="1" customWidth="1"/>
    <col min="12292" max="12292" width="11.125" style="12" bestFit="1" customWidth="1"/>
    <col min="12293" max="12293" width="12.25" style="12" bestFit="1" customWidth="1"/>
    <col min="12294" max="12294" width="11.5" style="12" customWidth="1"/>
    <col min="12295" max="12295" width="11.75" style="12" bestFit="1" customWidth="1"/>
    <col min="12296" max="12296" width="13.125" style="12" bestFit="1" customWidth="1"/>
    <col min="12297" max="12545" width="9" style="12"/>
    <col min="12546" max="12546" width="11" style="12" bestFit="1" customWidth="1"/>
    <col min="12547" max="12547" width="20.75" style="12" bestFit="1" customWidth="1"/>
    <col min="12548" max="12548" width="11.125" style="12" bestFit="1" customWidth="1"/>
    <col min="12549" max="12549" width="12.25" style="12" bestFit="1" customWidth="1"/>
    <col min="12550" max="12550" width="11.5" style="12" customWidth="1"/>
    <col min="12551" max="12551" width="11.75" style="12" bestFit="1" customWidth="1"/>
    <col min="12552" max="12552" width="13.125" style="12" bestFit="1" customWidth="1"/>
    <col min="12553" max="12801" width="9" style="12"/>
    <col min="12802" max="12802" width="11" style="12" bestFit="1" customWidth="1"/>
    <col min="12803" max="12803" width="20.75" style="12" bestFit="1" customWidth="1"/>
    <col min="12804" max="12804" width="11.125" style="12" bestFit="1" customWidth="1"/>
    <col min="12805" max="12805" width="12.25" style="12" bestFit="1" customWidth="1"/>
    <col min="12806" max="12806" width="11.5" style="12" customWidth="1"/>
    <col min="12807" max="12807" width="11.75" style="12" bestFit="1" customWidth="1"/>
    <col min="12808" max="12808" width="13.125" style="12" bestFit="1" customWidth="1"/>
    <col min="12809" max="13057" width="9" style="12"/>
    <col min="13058" max="13058" width="11" style="12" bestFit="1" customWidth="1"/>
    <col min="13059" max="13059" width="20.75" style="12" bestFit="1" customWidth="1"/>
    <col min="13060" max="13060" width="11.125" style="12" bestFit="1" customWidth="1"/>
    <col min="13061" max="13061" width="12.25" style="12" bestFit="1" customWidth="1"/>
    <col min="13062" max="13062" width="11.5" style="12" customWidth="1"/>
    <col min="13063" max="13063" width="11.75" style="12" bestFit="1" customWidth="1"/>
    <col min="13064" max="13064" width="13.125" style="12" bestFit="1" customWidth="1"/>
    <col min="13065" max="13313" width="9" style="12"/>
    <col min="13314" max="13314" width="11" style="12" bestFit="1" customWidth="1"/>
    <col min="13315" max="13315" width="20.75" style="12" bestFit="1" customWidth="1"/>
    <col min="13316" max="13316" width="11.125" style="12" bestFit="1" customWidth="1"/>
    <col min="13317" max="13317" width="12.25" style="12" bestFit="1" customWidth="1"/>
    <col min="13318" max="13318" width="11.5" style="12" customWidth="1"/>
    <col min="13319" max="13319" width="11.75" style="12" bestFit="1" customWidth="1"/>
    <col min="13320" max="13320" width="13.125" style="12" bestFit="1" customWidth="1"/>
    <col min="13321" max="13569" width="9" style="12"/>
    <col min="13570" max="13570" width="11" style="12" bestFit="1" customWidth="1"/>
    <col min="13571" max="13571" width="20.75" style="12" bestFit="1" customWidth="1"/>
    <col min="13572" max="13572" width="11.125" style="12" bestFit="1" customWidth="1"/>
    <col min="13573" max="13573" width="12.25" style="12" bestFit="1" customWidth="1"/>
    <col min="13574" max="13574" width="11.5" style="12" customWidth="1"/>
    <col min="13575" max="13575" width="11.75" style="12" bestFit="1" customWidth="1"/>
    <col min="13576" max="13576" width="13.125" style="12" bestFit="1" customWidth="1"/>
    <col min="13577" max="13825" width="9" style="12"/>
    <col min="13826" max="13826" width="11" style="12" bestFit="1" customWidth="1"/>
    <col min="13827" max="13827" width="20.75" style="12" bestFit="1" customWidth="1"/>
    <col min="13828" max="13828" width="11.125" style="12" bestFit="1" customWidth="1"/>
    <col min="13829" max="13829" width="12.25" style="12" bestFit="1" customWidth="1"/>
    <col min="13830" max="13830" width="11.5" style="12" customWidth="1"/>
    <col min="13831" max="13831" width="11.75" style="12" bestFit="1" customWidth="1"/>
    <col min="13832" max="13832" width="13.125" style="12" bestFit="1" customWidth="1"/>
    <col min="13833" max="14081" width="9" style="12"/>
    <col min="14082" max="14082" width="11" style="12" bestFit="1" customWidth="1"/>
    <col min="14083" max="14083" width="20.75" style="12" bestFit="1" customWidth="1"/>
    <col min="14084" max="14084" width="11.125" style="12" bestFit="1" customWidth="1"/>
    <col min="14085" max="14085" width="12.25" style="12" bestFit="1" customWidth="1"/>
    <col min="14086" max="14086" width="11.5" style="12" customWidth="1"/>
    <col min="14087" max="14087" width="11.75" style="12" bestFit="1" customWidth="1"/>
    <col min="14088" max="14088" width="13.125" style="12" bestFit="1" customWidth="1"/>
    <col min="14089" max="14337" width="9" style="12"/>
    <col min="14338" max="14338" width="11" style="12" bestFit="1" customWidth="1"/>
    <col min="14339" max="14339" width="20.75" style="12" bestFit="1" customWidth="1"/>
    <col min="14340" max="14340" width="11.125" style="12" bestFit="1" customWidth="1"/>
    <col min="14341" max="14341" width="12.25" style="12" bestFit="1" customWidth="1"/>
    <col min="14342" max="14342" width="11.5" style="12" customWidth="1"/>
    <col min="14343" max="14343" width="11.75" style="12" bestFit="1" customWidth="1"/>
    <col min="14344" max="14344" width="13.125" style="12" bestFit="1" customWidth="1"/>
    <col min="14345" max="14593" width="9" style="12"/>
    <col min="14594" max="14594" width="11" style="12" bestFit="1" customWidth="1"/>
    <col min="14595" max="14595" width="20.75" style="12" bestFit="1" customWidth="1"/>
    <col min="14596" max="14596" width="11.125" style="12" bestFit="1" customWidth="1"/>
    <col min="14597" max="14597" width="12.25" style="12" bestFit="1" customWidth="1"/>
    <col min="14598" max="14598" width="11.5" style="12" customWidth="1"/>
    <col min="14599" max="14599" width="11.75" style="12" bestFit="1" customWidth="1"/>
    <col min="14600" max="14600" width="13.125" style="12" bestFit="1" customWidth="1"/>
    <col min="14601" max="14849" width="9" style="12"/>
    <col min="14850" max="14850" width="11" style="12" bestFit="1" customWidth="1"/>
    <col min="14851" max="14851" width="20.75" style="12" bestFit="1" customWidth="1"/>
    <col min="14852" max="14852" width="11.125" style="12" bestFit="1" customWidth="1"/>
    <col min="14853" max="14853" width="12.25" style="12" bestFit="1" customWidth="1"/>
    <col min="14854" max="14854" width="11.5" style="12" customWidth="1"/>
    <col min="14855" max="14855" width="11.75" style="12" bestFit="1" customWidth="1"/>
    <col min="14856" max="14856" width="13.125" style="12" bestFit="1" customWidth="1"/>
    <col min="14857" max="15105" width="9" style="12"/>
    <col min="15106" max="15106" width="11" style="12" bestFit="1" customWidth="1"/>
    <col min="15107" max="15107" width="20.75" style="12" bestFit="1" customWidth="1"/>
    <col min="15108" max="15108" width="11.125" style="12" bestFit="1" customWidth="1"/>
    <col min="15109" max="15109" width="12.25" style="12" bestFit="1" customWidth="1"/>
    <col min="15110" max="15110" width="11.5" style="12" customWidth="1"/>
    <col min="15111" max="15111" width="11.75" style="12" bestFit="1" customWidth="1"/>
    <col min="15112" max="15112" width="13.125" style="12" bestFit="1" customWidth="1"/>
    <col min="15113" max="15361" width="9" style="12"/>
    <col min="15362" max="15362" width="11" style="12" bestFit="1" customWidth="1"/>
    <col min="15363" max="15363" width="20.75" style="12" bestFit="1" customWidth="1"/>
    <col min="15364" max="15364" width="11.125" style="12" bestFit="1" customWidth="1"/>
    <col min="15365" max="15365" width="12.25" style="12" bestFit="1" customWidth="1"/>
    <col min="15366" max="15366" width="11.5" style="12" customWidth="1"/>
    <col min="15367" max="15367" width="11.75" style="12" bestFit="1" customWidth="1"/>
    <col min="15368" max="15368" width="13.125" style="12" bestFit="1" customWidth="1"/>
    <col min="15369" max="15617" width="9" style="12"/>
    <col min="15618" max="15618" width="11" style="12" bestFit="1" customWidth="1"/>
    <col min="15619" max="15619" width="20.75" style="12" bestFit="1" customWidth="1"/>
    <col min="15620" max="15620" width="11.125" style="12" bestFit="1" customWidth="1"/>
    <col min="15621" max="15621" width="12.25" style="12" bestFit="1" customWidth="1"/>
    <col min="15622" max="15622" width="11.5" style="12" customWidth="1"/>
    <col min="15623" max="15623" width="11.75" style="12" bestFit="1" customWidth="1"/>
    <col min="15624" max="15624" width="13.125" style="12" bestFit="1" customWidth="1"/>
    <col min="15625" max="15873" width="9" style="12"/>
    <col min="15874" max="15874" width="11" style="12" bestFit="1" customWidth="1"/>
    <col min="15875" max="15875" width="20.75" style="12" bestFit="1" customWidth="1"/>
    <col min="15876" max="15876" width="11.125" style="12" bestFit="1" customWidth="1"/>
    <col min="15877" max="15877" width="12.25" style="12" bestFit="1" customWidth="1"/>
    <col min="15878" max="15878" width="11.5" style="12" customWidth="1"/>
    <col min="15879" max="15879" width="11.75" style="12" bestFit="1" customWidth="1"/>
    <col min="15880" max="15880" width="13.125" style="12" bestFit="1" customWidth="1"/>
    <col min="15881" max="16129" width="9" style="12"/>
    <col min="16130" max="16130" width="11" style="12" bestFit="1" customWidth="1"/>
    <col min="16131" max="16131" width="20.75" style="12" bestFit="1" customWidth="1"/>
    <col min="16132" max="16132" width="11.125" style="12" bestFit="1" customWidth="1"/>
    <col min="16133" max="16133" width="12.25" style="12" bestFit="1" customWidth="1"/>
    <col min="16134" max="16134" width="11.5" style="12" customWidth="1"/>
    <col min="16135" max="16135" width="11.75" style="12" bestFit="1" customWidth="1"/>
    <col min="16136" max="16136" width="13.125" style="12" bestFit="1" customWidth="1"/>
    <col min="16137" max="16384" width="9" style="12"/>
  </cols>
  <sheetData>
    <row r="1" spans="2:8">
      <c r="F1" s="13"/>
      <c r="G1" s="13"/>
    </row>
    <row r="2" spans="2:8">
      <c r="F2" s="13"/>
      <c r="G2" s="13"/>
    </row>
    <row r="3" spans="2:8">
      <c r="F3" s="13"/>
      <c r="G3" s="13"/>
    </row>
    <row r="4" spans="2:8">
      <c r="F4" s="13"/>
      <c r="G4" s="13"/>
      <c r="H4" s="38" t="s">
        <v>357</v>
      </c>
    </row>
    <row r="5" spans="2:8">
      <c r="B5" s="1" t="s">
        <v>84</v>
      </c>
      <c r="C5" s="1" t="s">
        <v>86</v>
      </c>
      <c r="D5" s="1" t="s">
        <v>87</v>
      </c>
      <c r="E5" s="1" t="s">
        <v>88</v>
      </c>
      <c r="F5" s="2" t="s">
        <v>89</v>
      </c>
      <c r="G5" s="2" t="s">
        <v>90</v>
      </c>
      <c r="H5" s="1" t="s">
        <v>91</v>
      </c>
    </row>
    <row r="6" spans="2:8">
      <c r="B6" s="1" t="s">
        <v>49</v>
      </c>
      <c r="C6" s="1" t="s">
        <v>92</v>
      </c>
      <c r="D6" s="1" t="s">
        <v>93</v>
      </c>
      <c r="E6" s="1" t="s">
        <v>94</v>
      </c>
      <c r="F6" s="2">
        <v>15000</v>
      </c>
      <c r="G6" s="2">
        <v>179900</v>
      </c>
      <c r="H6" s="1" t="s">
        <v>95</v>
      </c>
    </row>
    <row r="7" spans="2:8">
      <c r="B7" s="1" t="s">
        <v>96</v>
      </c>
      <c r="C7" s="1" t="s">
        <v>50</v>
      </c>
      <c r="D7" s="1" t="s">
        <v>93</v>
      </c>
      <c r="E7" s="1" t="s">
        <v>97</v>
      </c>
      <c r="F7" s="2">
        <v>7000</v>
      </c>
      <c r="G7" s="2">
        <v>53000</v>
      </c>
      <c r="H7" s="1" t="s">
        <v>51</v>
      </c>
    </row>
    <row r="8" spans="2:8">
      <c r="B8" s="1" t="s">
        <v>37</v>
      </c>
      <c r="C8" s="1" t="s">
        <v>98</v>
      </c>
      <c r="D8" s="1" t="s">
        <v>99</v>
      </c>
      <c r="E8" s="1" t="s">
        <v>100</v>
      </c>
      <c r="F8" s="2">
        <v>6000</v>
      </c>
      <c r="G8" s="2">
        <v>69800</v>
      </c>
      <c r="H8" s="1" t="s">
        <v>52</v>
      </c>
    </row>
    <row r="9" spans="2:8">
      <c r="B9" s="1" t="s">
        <v>47</v>
      </c>
      <c r="C9" s="1" t="s">
        <v>53</v>
      </c>
      <c r="D9" s="1" t="s">
        <v>54</v>
      </c>
      <c r="E9" s="1" t="s">
        <v>55</v>
      </c>
      <c r="F9" s="2">
        <v>5000</v>
      </c>
      <c r="G9" s="2">
        <v>57900</v>
      </c>
      <c r="H9" s="1" t="s">
        <v>101</v>
      </c>
    </row>
    <row r="10" spans="2:8">
      <c r="B10" s="1" t="s">
        <v>43</v>
      </c>
      <c r="C10" s="1" t="s">
        <v>102</v>
      </c>
      <c r="D10" s="1" t="s">
        <v>54</v>
      </c>
      <c r="E10" s="1" t="s">
        <v>56</v>
      </c>
      <c r="F10" s="2">
        <v>4000</v>
      </c>
      <c r="G10" s="2">
        <v>48000</v>
      </c>
      <c r="H10" s="1" t="s">
        <v>57</v>
      </c>
    </row>
    <row r="11" spans="2:8">
      <c r="B11" s="1" t="s">
        <v>58</v>
      </c>
      <c r="C11" s="1" t="s">
        <v>103</v>
      </c>
      <c r="D11" s="1" t="s">
        <v>99</v>
      </c>
      <c r="E11" s="1" t="s">
        <v>104</v>
      </c>
      <c r="F11" s="2">
        <v>3000</v>
      </c>
      <c r="G11" s="2">
        <v>39000</v>
      </c>
      <c r="H11" s="1" t="s">
        <v>52</v>
      </c>
    </row>
    <row r="12" spans="2:8">
      <c r="B12" s="1" t="s">
        <v>59</v>
      </c>
      <c r="C12" s="1" t="s">
        <v>60</v>
      </c>
      <c r="D12" s="1" t="s">
        <v>93</v>
      </c>
      <c r="E12" s="1" t="s">
        <v>105</v>
      </c>
      <c r="F12" s="2">
        <v>3000</v>
      </c>
      <c r="G12" s="2">
        <v>30400</v>
      </c>
      <c r="H12" s="1" t="s">
        <v>106</v>
      </c>
    </row>
    <row r="13" spans="2:8">
      <c r="B13" s="1" t="s">
        <v>61</v>
      </c>
      <c r="C13" s="1" t="s">
        <v>107</v>
      </c>
      <c r="D13" s="1" t="s">
        <v>48</v>
      </c>
      <c r="E13" s="1" t="s">
        <v>62</v>
      </c>
      <c r="F13" s="2">
        <v>2000</v>
      </c>
      <c r="G13" s="2">
        <v>12400</v>
      </c>
      <c r="H13" s="1" t="s">
        <v>108</v>
      </c>
    </row>
    <row r="14" spans="2:8">
      <c r="B14" s="1" t="s">
        <v>63</v>
      </c>
      <c r="C14" s="1" t="s">
        <v>109</v>
      </c>
      <c r="D14" s="1" t="s">
        <v>48</v>
      </c>
      <c r="E14" s="1" t="s">
        <v>110</v>
      </c>
      <c r="F14" s="2">
        <v>4000</v>
      </c>
      <c r="G14" s="2">
        <v>41300</v>
      </c>
      <c r="H14" s="1" t="s">
        <v>64</v>
      </c>
    </row>
    <row r="15" spans="2:8">
      <c r="B15" s="1" t="s">
        <v>65</v>
      </c>
      <c r="C15" s="1" t="s">
        <v>66</v>
      </c>
      <c r="D15" s="1" t="s">
        <v>93</v>
      </c>
      <c r="E15" s="1" t="s">
        <v>111</v>
      </c>
      <c r="F15" s="2">
        <v>5000</v>
      </c>
      <c r="G15" s="2">
        <v>64700</v>
      </c>
      <c r="H15" s="1" t="s">
        <v>51</v>
      </c>
    </row>
    <row r="16" spans="2:8">
      <c r="B16" s="1" t="s">
        <v>67</v>
      </c>
      <c r="C16" s="1" t="s">
        <v>68</v>
      </c>
      <c r="D16" s="1" t="s">
        <v>112</v>
      </c>
      <c r="E16" s="1" t="s">
        <v>100</v>
      </c>
      <c r="F16" s="2">
        <v>3000</v>
      </c>
      <c r="G16" s="2">
        <v>33900</v>
      </c>
      <c r="H16" s="1" t="s">
        <v>113</v>
      </c>
    </row>
    <row r="17" spans="2:8">
      <c r="B17" s="1" t="s">
        <v>69</v>
      </c>
      <c r="C17" s="1" t="s">
        <v>114</v>
      </c>
      <c r="D17" s="1" t="s">
        <v>48</v>
      </c>
      <c r="E17" s="1" t="s">
        <v>100</v>
      </c>
      <c r="F17" s="2">
        <v>1000</v>
      </c>
      <c r="G17" s="2">
        <v>9400</v>
      </c>
      <c r="H17" s="1" t="s">
        <v>115</v>
      </c>
    </row>
    <row r="18" spans="2:8">
      <c r="B18" s="1" t="s">
        <v>70</v>
      </c>
      <c r="C18" s="1" t="s">
        <v>71</v>
      </c>
      <c r="D18" s="1" t="s">
        <v>93</v>
      </c>
      <c r="E18" s="1" t="s">
        <v>116</v>
      </c>
      <c r="F18" s="2">
        <v>15000</v>
      </c>
      <c r="G18" s="2">
        <v>149000</v>
      </c>
      <c r="H18" s="1" t="s">
        <v>51</v>
      </c>
    </row>
    <row r="19" spans="2:8">
      <c r="B19" s="1" t="s">
        <v>72</v>
      </c>
      <c r="C19" s="1" t="s">
        <v>73</v>
      </c>
      <c r="D19" s="1" t="s">
        <v>112</v>
      </c>
      <c r="E19" s="1" t="s">
        <v>74</v>
      </c>
      <c r="F19" s="2">
        <v>2000</v>
      </c>
      <c r="G19" s="2">
        <v>11400</v>
      </c>
      <c r="H19" s="1" t="s">
        <v>117</v>
      </c>
    </row>
    <row r="20" spans="2:8">
      <c r="B20" s="1" t="s">
        <v>75</v>
      </c>
      <c r="C20" s="1" t="s">
        <v>76</v>
      </c>
      <c r="D20" s="1" t="s">
        <v>93</v>
      </c>
      <c r="E20" s="1" t="s">
        <v>77</v>
      </c>
      <c r="F20" s="2">
        <v>7000</v>
      </c>
      <c r="G20" s="2">
        <v>55000</v>
      </c>
      <c r="H20" s="1" t="s">
        <v>52</v>
      </c>
    </row>
    <row r="21" spans="2:8">
      <c r="B21" s="1" t="s">
        <v>78</v>
      </c>
      <c r="C21" s="1" t="s">
        <v>118</v>
      </c>
      <c r="D21" s="1" t="s">
        <v>112</v>
      </c>
      <c r="E21" s="1" t="s">
        <v>55</v>
      </c>
      <c r="F21" s="2">
        <v>15000</v>
      </c>
      <c r="G21" s="2">
        <v>177800</v>
      </c>
      <c r="H21" s="1" t="s">
        <v>79</v>
      </c>
    </row>
    <row r="22" spans="2:8">
      <c r="B22" s="1" t="s">
        <v>80</v>
      </c>
      <c r="C22" s="1" t="s">
        <v>119</v>
      </c>
      <c r="D22" s="1" t="s">
        <v>99</v>
      </c>
      <c r="E22" s="1" t="s">
        <v>120</v>
      </c>
      <c r="F22" s="2">
        <v>2000</v>
      </c>
      <c r="G22" s="2">
        <v>25900</v>
      </c>
      <c r="H22" s="1" t="s">
        <v>121</v>
      </c>
    </row>
    <row r="23" spans="2:8">
      <c r="B23" s="1" t="s">
        <v>81</v>
      </c>
      <c r="C23" s="1" t="s">
        <v>82</v>
      </c>
      <c r="D23" s="1" t="s">
        <v>112</v>
      </c>
      <c r="E23" s="1" t="s">
        <v>55</v>
      </c>
      <c r="F23" s="2">
        <v>3000</v>
      </c>
      <c r="G23" s="2">
        <v>35000</v>
      </c>
      <c r="H23" s="1" t="s">
        <v>83</v>
      </c>
    </row>
    <row r="24" spans="2:8">
      <c r="F24" s="13"/>
      <c r="G24" s="13"/>
    </row>
    <row r="25" spans="2:8">
      <c r="F25" s="13"/>
      <c r="G25" s="13"/>
    </row>
    <row r="26" spans="2:8">
      <c r="F26" s="13"/>
      <c r="G26" s="13"/>
    </row>
    <row r="27" spans="2:8">
      <c r="F27" s="13"/>
      <c r="G27" s="13"/>
    </row>
    <row r="28" spans="2:8">
      <c r="F28" s="13"/>
      <c r="G28" s="13"/>
    </row>
    <row r="29" spans="2:8">
      <c r="F29" s="13"/>
      <c r="G29" s="13"/>
    </row>
    <row r="30" spans="2:8">
      <c r="F30" s="13"/>
      <c r="G30" s="13"/>
    </row>
    <row r="31" spans="2:8">
      <c r="F31" s="13"/>
      <c r="G31" s="13"/>
    </row>
    <row r="32" spans="2:8">
      <c r="F32" s="13"/>
      <c r="G32" s="13"/>
    </row>
    <row r="33" spans="6:7">
      <c r="F33" s="13"/>
      <c r="G33" s="13"/>
    </row>
    <row r="34" spans="6:7">
      <c r="F34" s="13"/>
      <c r="G34" s="13"/>
    </row>
    <row r="35" spans="6:7">
      <c r="F35" s="13"/>
      <c r="G35" s="13"/>
    </row>
    <row r="36" spans="6:7">
      <c r="F36" s="13"/>
      <c r="G36" s="13"/>
    </row>
    <row r="37" spans="6:7">
      <c r="F37" s="13"/>
      <c r="G37" s="13"/>
    </row>
    <row r="38" spans="6:7">
      <c r="F38" s="13"/>
      <c r="G38" s="13"/>
    </row>
    <row r="39" spans="6:7">
      <c r="F39" s="13"/>
      <c r="G39" s="13"/>
    </row>
    <row r="40" spans="6:7">
      <c r="F40" s="13"/>
      <c r="G40" s="13"/>
    </row>
    <row r="41" spans="6:7">
      <c r="F41" s="13"/>
      <c r="G41" s="13"/>
    </row>
    <row r="42" spans="6:7">
      <c r="F42" s="13"/>
      <c r="G42" s="13"/>
    </row>
    <row r="43" spans="6:7">
      <c r="F43" s="13"/>
      <c r="G43" s="13"/>
    </row>
    <row r="44" spans="6:7">
      <c r="F44" s="13"/>
      <c r="G44" s="13"/>
    </row>
    <row r="45" spans="6:7">
      <c r="F45" s="13"/>
      <c r="G45" s="13"/>
    </row>
    <row r="46" spans="6:7">
      <c r="F46" s="13"/>
      <c r="G46" s="13"/>
    </row>
    <row r="47" spans="6:7">
      <c r="F47" s="13"/>
      <c r="G47" s="13"/>
    </row>
    <row r="48" spans="6:7">
      <c r="F48" s="13"/>
      <c r="G48" s="13"/>
    </row>
    <row r="49" spans="6:7">
      <c r="F49" s="13"/>
      <c r="G49" s="13"/>
    </row>
    <row r="50" spans="6:7">
      <c r="F50" s="13"/>
      <c r="G50" s="13"/>
    </row>
    <row r="51" spans="6:7">
      <c r="F51" s="13"/>
      <c r="G51" s="13"/>
    </row>
    <row r="52" spans="6:7">
      <c r="F52" s="13"/>
      <c r="G52" s="13"/>
    </row>
    <row r="53" spans="6:7">
      <c r="F53" s="13"/>
      <c r="G53" s="13"/>
    </row>
    <row r="54" spans="6:7">
      <c r="F54" s="13"/>
      <c r="G54" s="13"/>
    </row>
    <row r="55" spans="6:7">
      <c r="F55" s="13"/>
      <c r="G55" s="13"/>
    </row>
    <row r="56" spans="6:7">
      <c r="F56" s="13"/>
      <c r="G56" s="13"/>
    </row>
    <row r="57" spans="6:7">
      <c r="F57" s="13"/>
      <c r="G57" s="13"/>
    </row>
    <row r="58" spans="6:7">
      <c r="F58" s="13"/>
      <c r="G58" s="13"/>
    </row>
    <row r="59" spans="6:7">
      <c r="F59" s="13"/>
      <c r="G59" s="13"/>
    </row>
    <row r="60" spans="6:7">
      <c r="F60" s="13"/>
      <c r="G60" s="13"/>
    </row>
    <row r="61" spans="6:7">
      <c r="F61" s="13"/>
      <c r="G61" s="13"/>
    </row>
    <row r="62" spans="6:7">
      <c r="F62" s="13"/>
      <c r="G62" s="13"/>
    </row>
    <row r="63" spans="6:7">
      <c r="F63" s="13"/>
      <c r="G63" s="13"/>
    </row>
    <row r="64" spans="6:7">
      <c r="F64" s="13"/>
      <c r="G64" s="13"/>
    </row>
    <row r="65" spans="6:7">
      <c r="F65" s="13"/>
      <c r="G65" s="13"/>
    </row>
    <row r="66" spans="6:7">
      <c r="F66" s="13"/>
      <c r="G66" s="13"/>
    </row>
    <row r="67" spans="6:7">
      <c r="F67" s="13"/>
      <c r="G67" s="13"/>
    </row>
    <row r="68" spans="6:7">
      <c r="F68" s="13"/>
      <c r="G68" s="13"/>
    </row>
    <row r="69" spans="6:7">
      <c r="F69" s="13"/>
      <c r="G69" s="13"/>
    </row>
    <row r="70" spans="6:7">
      <c r="F70" s="13"/>
      <c r="G70" s="13"/>
    </row>
    <row r="71" spans="6:7">
      <c r="F71" s="13"/>
      <c r="G71" s="13"/>
    </row>
    <row r="72" spans="6:7">
      <c r="F72" s="13"/>
      <c r="G72" s="13"/>
    </row>
    <row r="73" spans="6:7">
      <c r="F73" s="13"/>
      <c r="G73" s="13"/>
    </row>
    <row r="74" spans="6:7">
      <c r="F74" s="13"/>
      <c r="G74" s="13"/>
    </row>
    <row r="75" spans="6:7">
      <c r="F75" s="13"/>
      <c r="G75" s="13"/>
    </row>
    <row r="76" spans="6:7">
      <c r="F76" s="13"/>
      <c r="G76" s="13"/>
    </row>
    <row r="77" spans="6:7">
      <c r="F77" s="13"/>
      <c r="G77" s="13"/>
    </row>
    <row r="78" spans="6:7">
      <c r="F78" s="13"/>
      <c r="G78" s="13"/>
    </row>
    <row r="79" spans="6:7">
      <c r="F79" s="13"/>
      <c r="G79" s="13"/>
    </row>
    <row r="80" spans="6:7">
      <c r="F80" s="13"/>
      <c r="G80" s="13"/>
    </row>
    <row r="81" spans="6:7">
      <c r="F81" s="13"/>
      <c r="G81" s="13"/>
    </row>
    <row r="82" spans="6:7">
      <c r="F82" s="13"/>
      <c r="G82" s="13"/>
    </row>
    <row r="83" spans="6:7">
      <c r="F83" s="13"/>
      <c r="G83" s="13"/>
    </row>
    <row r="84" spans="6:7">
      <c r="F84" s="13"/>
      <c r="G84" s="13"/>
    </row>
    <row r="85" spans="6:7">
      <c r="F85" s="13"/>
      <c r="G85" s="13"/>
    </row>
    <row r="86" spans="6:7">
      <c r="F86" s="13"/>
      <c r="G86" s="13"/>
    </row>
    <row r="87" spans="6:7">
      <c r="F87" s="13"/>
      <c r="G87" s="13"/>
    </row>
    <row r="88" spans="6:7">
      <c r="F88" s="13"/>
      <c r="G88" s="13"/>
    </row>
    <row r="89" spans="6:7">
      <c r="F89" s="13"/>
      <c r="G89" s="13"/>
    </row>
    <row r="90" spans="6:7">
      <c r="F90" s="13"/>
      <c r="G90" s="13"/>
    </row>
    <row r="91" spans="6:7">
      <c r="F91" s="13"/>
      <c r="G91" s="1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장난감검색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9525</xdr:colOff>
                <xdr:row>2</xdr:row>
                <xdr:rowOff>123825</xdr:rowOff>
              </to>
            </anchor>
          </controlPr>
        </control>
      </mc:Choice>
      <mc:Fallback>
        <control shapeId="1025" r:id="rId3" name="cmd장난감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Windows 사용자</cp:lastModifiedBy>
  <cp:lastPrinted>2020-12-15T10:31:14Z</cp:lastPrinted>
  <dcterms:created xsi:type="dcterms:W3CDTF">2010-06-21T12:52:24Z</dcterms:created>
  <dcterms:modified xsi:type="dcterms:W3CDTF">2020-12-15T11:32:37Z</dcterms:modified>
</cp:coreProperties>
</file>